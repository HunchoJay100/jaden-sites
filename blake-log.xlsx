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Dashboard" sheetId="2" state="visible" r:id="rId2"/>
    <sheet name="Daily Log" sheetId="3" state="visible" r:id="rId3"/>
    <sheet name="Training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.0;-0.0"/>
    <numFmt numFmtId="166" formatCode="yyyy-mm-dd h:mm:ss"/>
    <numFmt numFmtId="167" formatCode="ddd mmm d"/>
  </numFmts>
  <fonts count="22">
    <font>
      <name val="Calibri"/>
      <family val="2"/>
      <color theme="1"/>
      <sz val="11"/>
      <scheme val="minor"/>
    </font>
    <font>
      <name val="Arial Black"/>
      <b val="1"/>
      <color rgb="FFF5F5F7"/>
      <sz val="24"/>
    </font>
    <font>
      <name val="Arial"/>
      <b val="1"/>
      <color rgb="FFC6FF3C"/>
      <sz val="9"/>
    </font>
    <font>
      <name val="Arial"/>
      <b val="1"/>
      <color rgb="FF9E9EA6"/>
      <sz val="9"/>
    </font>
    <font>
      <name val="Arial Black"/>
      <b val="1"/>
      <color rgb="FFF5F5F7"/>
      <sz val="22"/>
    </font>
    <font>
      <name val="Arial Black"/>
      <b val="1"/>
      <color rgb="FFC6FF3C"/>
      <sz val="22"/>
    </font>
    <font>
      <name val="Arial Black"/>
      <b val="1"/>
      <color rgb="FFC6FF3C"/>
      <sz val="11"/>
    </font>
    <font>
      <name val="Arial Black"/>
      <b val="1"/>
      <color rgb="FFC6FF3C"/>
      <sz val="20"/>
    </font>
    <font>
      <name val="Arial Black"/>
      <b val="1"/>
      <color rgb="FFF5F5F7"/>
      <sz val="20"/>
    </font>
    <font>
      <name val="Arial Black"/>
      <b val="1"/>
      <color rgb="FFC6FF3C"/>
      <sz val="12"/>
    </font>
    <font>
      <name val="Arial"/>
      <color rgb="FF9E9EA6"/>
      <sz val="10"/>
    </font>
    <font>
      <name val="Aptos"/>
      <color rgb="FFF5F5F7"/>
      <sz val="11"/>
    </font>
    <font>
      <name val="Aptos"/>
      <color rgb="FF9E9EA6"/>
      <sz val="10"/>
    </font>
    <font>
      <name val="Arial"/>
      <b val="1"/>
      <color rgb="FF5B5B62"/>
      <sz val="8"/>
    </font>
    <font>
      <name val="Arial Black"/>
      <b val="1"/>
      <color rgb="FFF5F5F7"/>
      <sz val="16"/>
    </font>
    <font>
      <name val="Aptos"/>
      <color rgb="FFF5F5F7"/>
      <sz val="10"/>
    </font>
    <font>
      <name val="Arial"/>
      <b val="1"/>
      <color rgb="FFC6FF3C"/>
      <sz val="10"/>
    </font>
    <font>
      <name val="Arial"/>
      <b val="1"/>
      <color rgb="FFF5F5F7"/>
      <sz val="10"/>
    </font>
    <font>
      <name val="Aptos"/>
      <b val="1"/>
      <color rgb="FFF5F5F7"/>
      <sz val="10"/>
    </font>
    <font>
      <name val="Arial Black"/>
      <b val="1"/>
      <color rgb="FF9E9EA6"/>
      <sz val="11"/>
    </font>
    <font>
      <name val="Arial Black"/>
      <b val="1"/>
      <color rgb="FFF5F5F7"/>
      <sz val="18"/>
    </font>
    <font>
      <name val="Arial Black"/>
      <b val="1"/>
      <color rgb="FFC6FF3C"/>
      <sz val="10"/>
    </font>
  </fonts>
  <fills count="5">
    <fill>
      <patternFill/>
    </fill>
    <fill>
      <patternFill patternType="gray125"/>
    </fill>
    <fill>
      <patternFill patternType="solid">
        <fgColor rgb="FF0A0A0C"/>
      </patternFill>
    </fill>
    <fill>
      <patternFill patternType="solid">
        <fgColor rgb="FF101013"/>
      </patternFill>
    </fill>
    <fill>
      <patternFill patternType="solid">
        <fgColor rgb="FF17171B"/>
      </patternFill>
    </fill>
  </fills>
  <borders count="4">
    <border>
      <left/>
      <right/>
      <top/>
      <bottom/>
      <diagonal/>
    </border>
    <border>
      <top style="thick">
        <color rgb="FFC6FF3C"/>
      </top>
    </border>
    <border>
      <bottom style="thin">
        <color rgb="FFC6FF3C"/>
      </bottom>
    </border>
    <border>
      <bottom style="thick">
        <color rgb="FFC6FF3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20" fillId="2" borderId="0" applyAlignment="1" pivotButton="0" quotePrefix="0" xfId="0">
      <alignment horizontal="left" vertical="center" indent="1"/>
    </xf>
    <xf numFmtId="0" fontId="21" fillId="4" borderId="0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7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164" fontId="11" fillId="3" borderId="0" applyAlignment="1" pivotButton="0" quotePrefix="0" xfId="0">
      <alignment horizontal="center" vertical="center"/>
    </xf>
    <xf numFmtId="165" fontId="11" fillId="3" borderId="0" applyAlignment="1" pivotButton="0" quotePrefix="0" xfId="0">
      <alignment horizontal="center" vertical="center"/>
    </xf>
    <xf numFmtId="1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 indent="1"/>
    </xf>
    <xf numFmtId="0" fontId="2" fillId="4" borderId="3" applyAlignment="1" pivotButton="0" quotePrefix="0" xfId="0">
      <alignment horizontal="center" vertical="center"/>
    </xf>
    <xf numFmtId="167" fontId="15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167" fontId="15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167" fontId="12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167" fontId="12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2">
    <dxf>
      <font>
        <name val="Arial"/>
        <b val="1"/>
        <color rgb="FFB4E84D"/>
        <sz val="10"/>
      </font>
      <fill>
        <patternFill patternType="solid">
          <fgColor rgb="FF1F3D12"/>
        </patternFill>
      </fill>
    </dxf>
    <dxf>
      <font>
        <name val="Arial"/>
        <b val="1"/>
        <color rgb="FFFF7266"/>
        <sz val="10"/>
      </font>
      <fill>
        <patternFill patternType="solid">
          <fgColor rgb="FF3D141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FF3C"/>
    <outlinePr summaryBelow="1" summaryRight="1"/>
    <pageSetUpPr/>
  </sheetPr>
  <dimension ref="A1:G59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22" customWidth="1" min="2" max="2"/>
    <col width="44" customWidth="1" min="3" max="3"/>
    <col width="22" customWidth="1" min="4" max="4"/>
    <col width="44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6" customHeight="1">
      <c r="A2" s="1" t="n"/>
      <c r="B2" s="2" t="inlineStr">
        <is>
          <t>THE PLAN  ·  AT A GLANCE</t>
        </is>
      </c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4" customHeight="1">
      <c r="A4" s="1" t="n"/>
      <c r="B4" s="3" t="inlineStr">
        <is>
          <t>MISSION</t>
        </is>
      </c>
      <c r="C4" s="4" t="inlineStr">
        <is>
          <t>330 → 280 lb by September, 275 meet class, JAN '27 meet.</t>
        </is>
      </c>
      <c r="F4" s="1" t="n"/>
      <c r="G4" s="1" t="n"/>
    </row>
    <row r="5" ht="34" customHeight="1">
      <c r="A5" s="1" t="n"/>
      <c r="B5" s="3" t="inlineStr">
        <is>
          <t>SPLIT</t>
        </is>
      </c>
      <c r="C5" s="4" t="inlineStr">
        <is>
          <t>Push / Pull / Legs, 3 days per week. Main lifts on percentage wave (see Training Log).</t>
        </is>
      </c>
      <c r="F5" s="1" t="n"/>
      <c r="G5" s="1" t="n"/>
    </row>
    <row r="6" ht="34" customHeight="1">
      <c r="A6" s="1" t="n"/>
      <c r="B6" s="3" t="inlineStr">
        <is>
          <t>CALORIES</t>
        </is>
      </c>
      <c r="C6" s="4" t="inlineStr">
        <is>
          <t>2,225 to start. Intentionally low. As metabolism responds, we ramp food UP week over week.</t>
        </is>
      </c>
      <c r="F6" s="1" t="n"/>
      <c r="G6" s="1" t="n"/>
    </row>
    <row r="7" ht="34" customHeight="1">
      <c r="A7" s="1" t="n"/>
      <c r="B7" s="3" t="inlineStr">
        <is>
          <t>MACROS</t>
        </is>
      </c>
      <c r="C7" s="4" t="inlineStr">
        <is>
          <t>225 g protein  ·  175 g carbs  ·  70 g fat</t>
        </is>
      </c>
      <c r="F7" s="1" t="n"/>
      <c r="G7" s="1" t="n"/>
    </row>
    <row r="8" ht="34" customHeight="1">
      <c r="A8" s="1" t="n"/>
      <c r="B8" s="3" t="inlineStr">
        <is>
          <t>CARDIO</t>
        </is>
      </c>
      <c r="C8" s="4" t="inlineStr">
        <is>
          <t>30 min fasted walk, 4x per week. Before food, steady pace, daily if it feels good.</t>
        </is>
      </c>
      <c r="F8" s="1" t="n"/>
      <c r="G8" s="1" t="n"/>
    </row>
    <row r="9" ht="34" customHeight="1">
      <c r="A9" s="1" t="n"/>
      <c r="B9" s="3" t="inlineStr">
        <is>
          <t>CHECK-IN</t>
        </is>
      </c>
      <c r="C9" s="4" t="inlineStr">
        <is>
          <t>Every Saturday: weight + this spreadsheet to Chief. Tweaks for next 7 days come back Sunday.</t>
        </is>
      </c>
      <c r="F9" s="1" t="n"/>
      <c r="G9" s="1" t="n"/>
    </row>
    <row r="10" ht="34" customHeight="1">
      <c r="A10" s="1" t="n"/>
      <c r="B10" s="3" t="inlineStr">
        <is>
          <t>TRAINING MAX</t>
        </is>
      </c>
      <c r="C10" s="4" t="inlineStr">
        <is>
          <t>Training Max = 90% of true 1RM. You pick your starting numbers, we dial in from there.</t>
        </is>
      </c>
      <c r="F10" s="1" t="n"/>
      <c r="G10" s="1" t="n"/>
    </row>
    <row r="11" ht="34" customHeight="1">
      <c r="A11" s="1" t="n"/>
      <c r="B11" s="3" t="inlineStr">
        <is>
          <t>CYCLES</t>
        </is>
      </c>
      <c r="C11" s="4" t="inlineStr">
        <is>
          <t>10 weeks per cycle (8 hard + deload + retest). 3 full cycles + peak block before meet.</t>
        </is>
      </c>
      <c r="F11" s="1" t="n"/>
      <c r="G11" s="1" t="n"/>
    </row>
    <row r="12" ht="34" customHeight="1">
      <c r="A12" s="1" t="n"/>
      <c r="B12" s="3" t="inlineStr">
        <is>
          <t>INCLINE</t>
        </is>
      </c>
      <c r="C12" s="4" t="inlineStr">
        <is>
          <t>Incline BB bench is primary press for the first blocks. Builds the shelf for flat bench later.</t>
        </is>
      </c>
      <c r="F12" s="1" t="n"/>
      <c r="G12" s="1" t="n"/>
    </row>
    <row r="13" ht="34" customHeight="1">
      <c r="A13" s="1" t="n"/>
      <c r="B13" s="3" t="inlineStr">
        <is>
          <t>SQUAT+DL</t>
        </is>
      </c>
      <c r="C13" s="4" t="inlineStr">
        <is>
          <t>Trying them same day first. If it's too much, we split them out. No ego, just adjust.</t>
        </is>
      </c>
      <c r="F13" s="1" t="n"/>
      <c r="G13" s="1" t="n"/>
    </row>
    <row r="14" ht="34" customHeight="1">
      <c r="A14" s="1" t="n"/>
      <c r="B14" s="3" t="inlineStr">
        <is>
          <t>MEALS</t>
        </is>
      </c>
      <c r="C14" s="4" t="inlineStr">
        <is>
          <t>Ask Chief anytime if you want meal ideas or a full meal plan to hit your macros. No charge.</t>
        </is>
      </c>
      <c r="F14" s="1" t="n"/>
      <c r="G14" s="1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 ht="30" customHeight="1">
      <c r="A16" s="1" t="n"/>
      <c r="B16" s="5" t="inlineStr">
        <is>
          <t>— PROGRAMMED BY JADEN / CHIEF  ·  WE'VE GOT YOUR BACK  ·  LET'S GO.</t>
        </is>
      </c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</sheetData>
  <mergeCells count="24">
    <mergeCell ref="B9"/>
    <mergeCell ref="B6"/>
    <mergeCell ref="C9:E9"/>
    <mergeCell ref="B5"/>
    <mergeCell ref="C12:E12"/>
    <mergeCell ref="B4"/>
    <mergeCell ref="C11:E11"/>
    <mergeCell ref="B7"/>
    <mergeCell ref="C8:E8"/>
    <mergeCell ref="B16:E16"/>
    <mergeCell ref="C7:E7"/>
    <mergeCell ref="B12"/>
    <mergeCell ref="C13:E13"/>
    <mergeCell ref="B11"/>
    <mergeCell ref="B2:E2"/>
    <mergeCell ref="B14"/>
    <mergeCell ref="C6:E6"/>
    <mergeCell ref="B8"/>
    <mergeCell ref="C14:E14"/>
    <mergeCell ref="C5:E5"/>
    <mergeCell ref="B13"/>
    <mergeCell ref="C4:E4"/>
    <mergeCell ref="B10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FF3C"/>
    <outlinePr summaryBelow="1" summaryRight="1"/>
    <pageSetUpPr/>
  </sheetPr>
  <dimension ref="A1:M4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56" customHeight="1">
      <c r="A3" s="1" t="n"/>
      <c r="B3" s="6" t="inlineStr">
        <is>
          <t>BLAKE  /  THE 275 PROJECT</t>
        </is>
      </c>
      <c r="M3" s="1" t="n"/>
    </row>
    <row r="4" ht="20" customHeight="1">
      <c r="A4" s="1" t="n"/>
      <c r="B4" s="7" t="inlineStr">
        <is>
          <t>MEET WINDOW · JAN '27  ·  275 LB CLASS  ·  COACHED BY JADEN / CHIEF</t>
        </is>
      </c>
      <c r="M4" s="1" t="n"/>
    </row>
    <row r="5" ht="1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22" customHeight="1">
      <c r="A6" s="1" t="n"/>
      <c r="B6" s="8" t="inlineStr">
        <is>
          <t>STARTING</t>
        </is>
      </c>
      <c r="C6" s="9" t="n"/>
      <c r="D6" s="10" t="inlineStr">
        <is>
          <t>CURRENT</t>
        </is>
      </c>
      <c r="E6" s="11" t="n"/>
      <c r="F6" s="10" t="inlineStr">
        <is>
          <t>LOST SO FAR</t>
        </is>
      </c>
      <c r="G6" s="11" t="n"/>
      <c r="H6" s="8" t="inlineStr">
        <is>
          <t>SEPT TARGET</t>
        </is>
      </c>
      <c r="I6" s="9" t="n"/>
      <c r="J6" s="8" t="inlineStr">
        <is>
          <t>MEET WEIGHT</t>
        </is>
      </c>
      <c r="K6" s="9" t="n"/>
      <c r="L6" s="1" t="n"/>
      <c r="M6" s="1" t="n"/>
    </row>
    <row r="7" ht="42" customHeight="1">
      <c r="A7" s="1" t="n"/>
      <c r="B7" s="12" t="n">
        <v>330</v>
      </c>
      <c r="C7" s="9" t="n"/>
      <c r="D7" s="13">
        <f>IFERROR(LOOKUP(2,1/('Daily Log'!C3:C72&lt;&gt;""),'Daily Log'!C3:C72),330)</f>
        <v/>
      </c>
      <c r="E7" s="9" t="n"/>
      <c r="F7" s="13">
        <f>330-(IFERROR(LOOKUP(2,1/('Daily Log'!C3:C72&lt;&gt;""),'Daily Log'!C3:C72),330))</f>
        <v/>
      </c>
      <c r="G7" s="9" t="n"/>
      <c r="H7" s="12" t="n">
        <v>280</v>
      </c>
      <c r="I7" s="9" t="n"/>
      <c r="J7" s="12" t="n">
        <v>275</v>
      </c>
      <c r="K7" s="9" t="n"/>
      <c r="L7" s="1" t="n"/>
      <c r="M7" s="1" t="n"/>
    </row>
    <row r="8" ht="10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22" customHeight="1">
      <c r="A9" s="1" t="n"/>
      <c r="B9" s="14" t="inlineStr">
        <is>
          <t>DAILY FUEL TARGETS</t>
        </is>
      </c>
      <c r="M9" s="1" t="n"/>
    </row>
    <row r="10" ht="22" customHeight="1">
      <c r="A10" s="1" t="n"/>
      <c r="B10" s="15" t="inlineStr">
        <is>
          <t>CALORIES</t>
        </is>
      </c>
      <c r="C10" s="16" t="n"/>
      <c r="D10" s="16" t="n"/>
      <c r="E10" s="15" t="inlineStr">
        <is>
          <t>PROTEIN</t>
        </is>
      </c>
      <c r="F10" s="16" t="n"/>
      <c r="G10" s="16" t="n"/>
      <c r="H10" s="15" t="inlineStr">
        <is>
          <t>CARBS</t>
        </is>
      </c>
      <c r="I10" s="16" t="n"/>
      <c r="J10" s="16" t="n"/>
      <c r="K10" s="15" t="inlineStr">
        <is>
          <t>FAT</t>
        </is>
      </c>
      <c r="L10" s="16" t="n"/>
      <c r="M10" s="16" t="n"/>
    </row>
    <row r="11" ht="38" customHeight="1">
      <c r="A11" s="1" t="n"/>
      <c r="B11" s="17" t="n">
        <v>2225</v>
      </c>
      <c r="C11" s="16" t="n"/>
      <c r="D11" s="16" t="n"/>
      <c r="E11" s="18" t="inlineStr">
        <is>
          <t>225 g</t>
        </is>
      </c>
      <c r="F11" s="16" t="n"/>
      <c r="G11" s="16" t="n"/>
      <c r="H11" s="18" t="inlineStr">
        <is>
          <t>175 g</t>
        </is>
      </c>
      <c r="I11" s="16" t="n"/>
      <c r="J11" s="16" t="n"/>
      <c r="K11" s="18" t="inlineStr">
        <is>
          <t>70 g</t>
        </is>
      </c>
      <c r="L11" s="16" t="n"/>
      <c r="M11" s="16" t="n"/>
    </row>
    <row r="12" ht="16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22" customHeight="1">
      <c r="A13" s="1" t="n"/>
      <c r="B13" s="14" t="inlineStr">
        <is>
          <t>WEEKLY SUMMARY</t>
        </is>
      </c>
      <c r="M13" s="1" t="n"/>
    </row>
    <row r="14" ht="24" customHeight="1">
      <c r="A14" s="1" t="n"/>
      <c r="B14" s="19" t="inlineStr">
        <is>
          <t>WEEK</t>
        </is>
      </c>
      <c r="C14" s="19" t="inlineStr">
        <is>
          <t>DATES</t>
        </is>
      </c>
      <c r="D14" s="19" t="inlineStr">
        <is>
          <t>AVG WT</t>
        </is>
      </c>
      <c r="E14" s="19" t="inlineStr">
        <is>
          <t>Δ VS START</t>
        </is>
      </c>
      <c r="F14" s="19" t="inlineStr">
        <is>
          <t>LIFT DAYS</t>
        </is>
      </c>
      <c r="G14" s="19" t="inlineStr">
        <is>
          <t>CARDIO</t>
        </is>
      </c>
      <c r="H14" s="19" t="inlineStr">
        <is>
          <t>AVG CAL</t>
        </is>
      </c>
      <c r="I14" s="19" t="inlineStr">
        <is>
          <t>AVG P</t>
        </is>
      </c>
      <c r="J14" s="19" t="inlineStr">
        <is>
          <t>AVG C</t>
        </is>
      </c>
      <c r="K14" s="19" t="inlineStr">
        <is>
          <t>AVG F</t>
        </is>
      </c>
      <c r="L14" s="19" t="inlineStr">
        <is>
          <t>NOTES</t>
        </is>
      </c>
      <c r="M14" s="1" t="n"/>
    </row>
    <row r="15" ht="22" customHeight="1">
      <c r="A15" s="1" t="n"/>
      <c r="B15" s="20" t="n">
        <v>1</v>
      </c>
      <c r="C15" s="21" t="inlineStr">
        <is>
          <t>Apr 20 — Apr 26</t>
        </is>
      </c>
      <c r="D15" s="22">
        <f>IFERROR(AVERAGEIF('Daily Log'!C3:C9,"&gt;0"),"—")</f>
        <v/>
      </c>
      <c r="E15" s="23">
        <f>IFERROR(AVERAGEIF('Daily Log'!C3:C9,"&gt;0")-330,"—")</f>
        <v/>
      </c>
      <c r="F15" s="24">
        <f>COUNTIF('Daily Log'!H3:H9,"Y")</f>
        <v/>
      </c>
      <c r="G15" s="24">
        <f>COUNTIF('Daily Log'!J3:J9,"&gt;0")</f>
        <v/>
      </c>
      <c r="H15" s="24">
        <f>IFERROR(AVERAGEIF('Daily Log'!K3:K9,"&gt;0"),"—")</f>
        <v/>
      </c>
      <c r="I15" s="24">
        <f>IFERROR(AVERAGEIF('Daily Log'!L3:L9,"&gt;0"),"—")</f>
        <v/>
      </c>
      <c r="J15" s="24">
        <f>IFERROR(AVERAGEIF('Daily Log'!M3:M9,"&gt;0"),"—")</f>
        <v/>
      </c>
      <c r="K15" s="24">
        <f>IFERROR(AVERAGEIF('Daily Log'!N3:N9,"&gt;0"),"—")</f>
        <v/>
      </c>
      <c r="L15" s="25" t="inlineStr"/>
      <c r="M15" s="1" t="n"/>
    </row>
    <row r="16" ht="22" customHeight="1">
      <c r="A16" s="1" t="n"/>
      <c r="B16" s="20" t="n">
        <v>2</v>
      </c>
      <c r="C16" s="21" t="inlineStr">
        <is>
          <t>Apr 27 — May 03</t>
        </is>
      </c>
      <c r="D16" s="22">
        <f>IFERROR(AVERAGEIF('Daily Log'!C10:C16,"&gt;0"),"—")</f>
        <v/>
      </c>
      <c r="E16" s="23">
        <f>IFERROR(AVERAGEIF('Daily Log'!C10:C16,"&gt;0")-330,"—")</f>
        <v/>
      </c>
      <c r="F16" s="24">
        <f>COUNTIF('Daily Log'!H10:H16,"Y")</f>
        <v/>
      </c>
      <c r="G16" s="24">
        <f>COUNTIF('Daily Log'!J10:J16,"&gt;0")</f>
        <v/>
      </c>
      <c r="H16" s="24">
        <f>IFERROR(AVERAGEIF('Daily Log'!K10:K16,"&gt;0"),"—")</f>
        <v/>
      </c>
      <c r="I16" s="24">
        <f>IFERROR(AVERAGEIF('Daily Log'!L10:L16,"&gt;0"),"—")</f>
        <v/>
      </c>
      <c r="J16" s="24">
        <f>IFERROR(AVERAGEIF('Daily Log'!M10:M16,"&gt;0"),"—")</f>
        <v/>
      </c>
      <c r="K16" s="24">
        <f>IFERROR(AVERAGEIF('Daily Log'!N10:N16,"&gt;0"),"—")</f>
        <v/>
      </c>
      <c r="L16" s="25" t="inlineStr"/>
      <c r="M16" s="1" t="n"/>
    </row>
    <row r="17" ht="22" customHeight="1">
      <c r="A17" s="1" t="n"/>
      <c r="B17" s="20" t="n">
        <v>3</v>
      </c>
      <c r="C17" s="21" t="inlineStr">
        <is>
          <t>May 04 — May 10</t>
        </is>
      </c>
      <c r="D17" s="22">
        <f>IFERROR(AVERAGEIF('Daily Log'!C17:C23,"&gt;0"),"—")</f>
        <v/>
      </c>
      <c r="E17" s="23">
        <f>IFERROR(AVERAGEIF('Daily Log'!C17:C23,"&gt;0")-330,"—")</f>
        <v/>
      </c>
      <c r="F17" s="24">
        <f>COUNTIF('Daily Log'!H17:H23,"Y")</f>
        <v/>
      </c>
      <c r="G17" s="24">
        <f>COUNTIF('Daily Log'!J17:J23,"&gt;0")</f>
        <v/>
      </c>
      <c r="H17" s="24">
        <f>IFERROR(AVERAGEIF('Daily Log'!K17:K23,"&gt;0"),"—")</f>
        <v/>
      </c>
      <c r="I17" s="24">
        <f>IFERROR(AVERAGEIF('Daily Log'!L17:L23,"&gt;0"),"—")</f>
        <v/>
      </c>
      <c r="J17" s="24">
        <f>IFERROR(AVERAGEIF('Daily Log'!M17:M23,"&gt;0"),"—")</f>
        <v/>
      </c>
      <c r="K17" s="24">
        <f>IFERROR(AVERAGEIF('Daily Log'!N17:N23,"&gt;0"),"—")</f>
        <v/>
      </c>
      <c r="L17" s="25" t="inlineStr"/>
      <c r="M17" s="1" t="n"/>
    </row>
    <row r="18" ht="22" customHeight="1">
      <c r="A18" s="1" t="n"/>
      <c r="B18" s="20" t="n">
        <v>4</v>
      </c>
      <c r="C18" s="21" t="inlineStr">
        <is>
          <t>May 11 — May 17</t>
        </is>
      </c>
      <c r="D18" s="22">
        <f>IFERROR(AVERAGEIF('Daily Log'!C24:C30,"&gt;0"),"—")</f>
        <v/>
      </c>
      <c r="E18" s="23">
        <f>IFERROR(AVERAGEIF('Daily Log'!C24:C30,"&gt;0")-330,"—")</f>
        <v/>
      </c>
      <c r="F18" s="24">
        <f>COUNTIF('Daily Log'!H24:H30,"Y")</f>
        <v/>
      </c>
      <c r="G18" s="24">
        <f>COUNTIF('Daily Log'!J24:J30,"&gt;0")</f>
        <v/>
      </c>
      <c r="H18" s="24">
        <f>IFERROR(AVERAGEIF('Daily Log'!K24:K30,"&gt;0"),"—")</f>
        <v/>
      </c>
      <c r="I18" s="24">
        <f>IFERROR(AVERAGEIF('Daily Log'!L24:L30,"&gt;0"),"—")</f>
        <v/>
      </c>
      <c r="J18" s="24">
        <f>IFERROR(AVERAGEIF('Daily Log'!M24:M30,"&gt;0"),"—")</f>
        <v/>
      </c>
      <c r="K18" s="24">
        <f>IFERROR(AVERAGEIF('Daily Log'!N24:N30,"&gt;0"),"—")</f>
        <v/>
      </c>
      <c r="L18" s="25" t="inlineStr"/>
      <c r="M18" s="1" t="n"/>
    </row>
    <row r="19" ht="22" customHeight="1">
      <c r="A19" s="1" t="n"/>
      <c r="B19" s="20" t="n">
        <v>5</v>
      </c>
      <c r="C19" s="21" t="inlineStr">
        <is>
          <t>May 18 — May 24</t>
        </is>
      </c>
      <c r="D19" s="22">
        <f>IFERROR(AVERAGEIF('Daily Log'!C31:C37,"&gt;0"),"—")</f>
        <v/>
      </c>
      <c r="E19" s="23">
        <f>IFERROR(AVERAGEIF('Daily Log'!C31:C37,"&gt;0")-330,"—")</f>
        <v/>
      </c>
      <c r="F19" s="24">
        <f>COUNTIF('Daily Log'!H31:H37,"Y")</f>
        <v/>
      </c>
      <c r="G19" s="24">
        <f>COUNTIF('Daily Log'!J31:J37,"&gt;0")</f>
        <v/>
      </c>
      <c r="H19" s="24">
        <f>IFERROR(AVERAGEIF('Daily Log'!K31:K37,"&gt;0"),"—")</f>
        <v/>
      </c>
      <c r="I19" s="24">
        <f>IFERROR(AVERAGEIF('Daily Log'!L31:L37,"&gt;0"),"—")</f>
        <v/>
      </c>
      <c r="J19" s="24">
        <f>IFERROR(AVERAGEIF('Daily Log'!M31:M37,"&gt;0"),"—")</f>
        <v/>
      </c>
      <c r="K19" s="24">
        <f>IFERROR(AVERAGEIF('Daily Log'!N31:N37,"&gt;0"),"—")</f>
        <v/>
      </c>
      <c r="L19" s="25" t="inlineStr"/>
      <c r="M19" s="1" t="n"/>
    </row>
    <row r="20" ht="22" customHeight="1">
      <c r="A20" s="1" t="n"/>
      <c r="B20" s="20" t="n">
        <v>6</v>
      </c>
      <c r="C20" s="21" t="inlineStr">
        <is>
          <t>May 25 — May 31</t>
        </is>
      </c>
      <c r="D20" s="22">
        <f>IFERROR(AVERAGEIF('Daily Log'!C38:C44,"&gt;0"),"—")</f>
        <v/>
      </c>
      <c r="E20" s="23">
        <f>IFERROR(AVERAGEIF('Daily Log'!C38:C44,"&gt;0")-330,"—")</f>
        <v/>
      </c>
      <c r="F20" s="24">
        <f>COUNTIF('Daily Log'!H38:H44,"Y")</f>
        <v/>
      </c>
      <c r="G20" s="24">
        <f>COUNTIF('Daily Log'!J38:J44,"&gt;0")</f>
        <v/>
      </c>
      <c r="H20" s="24">
        <f>IFERROR(AVERAGEIF('Daily Log'!K38:K44,"&gt;0"),"—")</f>
        <v/>
      </c>
      <c r="I20" s="24">
        <f>IFERROR(AVERAGEIF('Daily Log'!L38:L44,"&gt;0"),"—")</f>
        <v/>
      </c>
      <c r="J20" s="24">
        <f>IFERROR(AVERAGEIF('Daily Log'!M38:M44,"&gt;0"),"—")</f>
        <v/>
      </c>
      <c r="K20" s="24">
        <f>IFERROR(AVERAGEIF('Daily Log'!N38:N44,"&gt;0"),"—")</f>
        <v/>
      </c>
      <c r="L20" s="25" t="inlineStr"/>
      <c r="M20" s="1" t="n"/>
    </row>
    <row r="21" ht="22" customHeight="1">
      <c r="A21" s="1" t="n"/>
      <c r="B21" s="20" t="n">
        <v>7</v>
      </c>
      <c r="C21" s="21" t="inlineStr">
        <is>
          <t>Jun 01 — Jun 07</t>
        </is>
      </c>
      <c r="D21" s="22">
        <f>IFERROR(AVERAGEIF('Daily Log'!C45:C51,"&gt;0"),"—")</f>
        <v/>
      </c>
      <c r="E21" s="23">
        <f>IFERROR(AVERAGEIF('Daily Log'!C45:C51,"&gt;0")-330,"—")</f>
        <v/>
      </c>
      <c r="F21" s="24">
        <f>COUNTIF('Daily Log'!H45:H51,"Y")</f>
        <v/>
      </c>
      <c r="G21" s="24">
        <f>COUNTIF('Daily Log'!J45:J51,"&gt;0")</f>
        <v/>
      </c>
      <c r="H21" s="24">
        <f>IFERROR(AVERAGEIF('Daily Log'!K45:K51,"&gt;0"),"—")</f>
        <v/>
      </c>
      <c r="I21" s="24">
        <f>IFERROR(AVERAGEIF('Daily Log'!L45:L51,"&gt;0"),"—")</f>
        <v/>
      </c>
      <c r="J21" s="24">
        <f>IFERROR(AVERAGEIF('Daily Log'!M45:M51,"&gt;0"),"—")</f>
        <v/>
      </c>
      <c r="K21" s="24">
        <f>IFERROR(AVERAGEIF('Daily Log'!N45:N51,"&gt;0"),"—")</f>
        <v/>
      </c>
      <c r="L21" s="25" t="inlineStr"/>
      <c r="M21" s="1" t="n"/>
    </row>
    <row r="22" ht="22" customHeight="1">
      <c r="A22" s="1" t="n"/>
      <c r="B22" s="20" t="n">
        <v>8</v>
      </c>
      <c r="C22" s="21" t="inlineStr">
        <is>
          <t>Jun 08 — Jun 14</t>
        </is>
      </c>
      <c r="D22" s="22">
        <f>IFERROR(AVERAGEIF('Daily Log'!C52:C58,"&gt;0"),"—")</f>
        <v/>
      </c>
      <c r="E22" s="23">
        <f>IFERROR(AVERAGEIF('Daily Log'!C52:C58,"&gt;0")-330,"—")</f>
        <v/>
      </c>
      <c r="F22" s="24">
        <f>COUNTIF('Daily Log'!H52:H58,"Y")</f>
        <v/>
      </c>
      <c r="G22" s="24">
        <f>COUNTIF('Daily Log'!J52:J58,"&gt;0")</f>
        <v/>
      </c>
      <c r="H22" s="24">
        <f>IFERROR(AVERAGEIF('Daily Log'!K52:K58,"&gt;0"),"—")</f>
        <v/>
      </c>
      <c r="I22" s="24">
        <f>IFERROR(AVERAGEIF('Daily Log'!L52:L58,"&gt;0"),"—")</f>
        <v/>
      </c>
      <c r="J22" s="24">
        <f>IFERROR(AVERAGEIF('Daily Log'!M52:M58,"&gt;0"),"—")</f>
        <v/>
      </c>
      <c r="K22" s="24">
        <f>IFERROR(AVERAGEIF('Daily Log'!N52:N58,"&gt;0"),"—")</f>
        <v/>
      </c>
      <c r="L22" s="25" t="inlineStr"/>
      <c r="M22" s="1" t="n"/>
    </row>
    <row r="23" ht="22" customHeight="1">
      <c r="A23" s="1" t="n"/>
      <c r="B23" s="20" t="n">
        <v>9</v>
      </c>
      <c r="C23" s="21" t="inlineStr">
        <is>
          <t>Jun 15 — Jun 21</t>
        </is>
      </c>
      <c r="D23" s="22">
        <f>IFERROR(AVERAGEIF('Daily Log'!C59:C65,"&gt;0"),"—")</f>
        <v/>
      </c>
      <c r="E23" s="23">
        <f>IFERROR(AVERAGEIF('Daily Log'!C59:C65,"&gt;0")-330,"—")</f>
        <v/>
      </c>
      <c r="F23" s="24">
        <f>COUNTIF('Daily Log'!H59:H65,"Y")</f>
        <v/>
      </c>
      <c r="G23" s="24">
        <f>COUNTIF('Daily Log'!J59:J65,"&gt;0")</f>
        <v/>
      </c>
      <c r="H23" s="24">
        <f>IFERROR(AVERAGEIF('Daily Log'!K59:K65,"&gt;0"),"—")</f>
        <v/>
      </c>
      <c r="I23" s="24">
        <f>IFERROR(AVERAGEIF('Daily Log'!L59:L65,"&gt;0"),"—")</f>
        <v/>
      </c>
      <c r="J23" s="24">
        <f>IFERROR(AVERAGEIF('Daily Log'!M59:M65,"&gt;0"),"—")</f>
        <v/>
      </c>
      <c r="K23" s="24">
        <f>IFERROR(AVERAGEIF('Daily Log'!N59:N65,"&gt;0"),"—")</f>
        <v/>
      </c>
      <c r="L23" s="25" t="inlineStr"/>
      <c r="M23" s="1" t="n"/>
    </row>
    <row r="24" ht="22" customHeight="1">
      <c r="A24" s="1" t="n"/>
      <c r="B24" s="20" t="n">
        <v>10</v>
      </c>
      <c r="C24" s="21" t="inlineStr">
        <is>
          <t>Jun 22 — Jun 28</t>
        </is>
      </c>
      <c r="D24" s="22">
        <f>IFERROR(AVERAGEIF('Daily Log'!C66:C72,"&gt;0"),"—")</f>
        <v/>
      </c>
      <c r="E24" s="23">
        <f>IFERROR(AVERAGEIF('Daily Log'!C66:C72,"&gt;0")-330,"—")</f>
        <v/>
      </c>
      <c r="F24" s="24">
        <f>COUNTIF('Daily Log'!H66:H72,"Y")</f>
        <v/>
      </c>
      <c r="G24" s="24">
        <f>COUNTIF('Daily Log'!J66:J72,"&gt;0")</f>
        <v/>
      </c>
      <c r="H24" s="24">
        <f>IFERROR(AVERAGEIF('Daily Log'!K66:K72,"&gt;0"),"—")</f>
        <v/>
      </c>
      <c r="I24" s="24">
        <f>IFERROR(AVERAGEIF('Daily Log'!L66:L72,"&gt;0"),"—")</f>
        <v/>
      </c>
      <c r="J24" s="24">
        <f>IFERROR(AVERAGEIF('Daily Log'!M66:M72,"&gt;0"),"—")</f>
        <v/>
      </c>
      <c r="K24" s="24">
        <f>IFERROR(AVERAGEIF('Daily Log'!N66:N72,"&gt;0"),"—")</f>
        <v/>
      </c>
      <c r="L24" s="25" t="inlineStr"/>
      <c r="M24" s="1" t="n"/>
    </row>
    <row r="25" ht="16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18" customHeight="1">
      <c r="A27" s="1" t="n"/>
      <c r="B27" s="26" t="inlineStr">
        <is>
          <t>PROGRAMMED BY JADEN / CHIEF  ·  SEND EVERY SATURDAY  ·  BCH FIT</t>
        </is>
      </c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</sheetData>
  <mergeCells count="23">
    <mergeCell ref="B4:L4"/>
    <mergeCell ref="B11:D11"/>
    <mergeCell ref="E10:G10"/>
    <mergeCell ref="B7:C7"/>
    <mergeCell ref="B3:L3"/>
    <mergeCell ref="F6:G6"/>
    <mergeCell ref="H11:J11"/>
    <mergeCell ref="B27:L27"/>
    <mergeCell ref="F7:G7"/>
    <mergeCell ref="B10:D10"/>
    <mergeCell ref="D6:E6"/>
    <mergeCell ref="H6:I6"/>
    <mergeCell ref="E11:G11"/>
    <mergeCell ref="J6:K6"/>
    <mergeCell ref="B13:L13"/>
    <mergeCell ref="D7:E7"/>
    <mergeCell ref="K10:M10"/>
    <mergeCell ref="H7:I7"/>
    <mergeCell ref="J7:K7"/>
    <mergeCell ref="B9:L9"/>
    <mergeCell ref="B6:C6"/>
    <mergeCell ref="H10:J10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FF3C"/>
    <outlinePr summaryBelow="1" summaryRight="1"/>
    <pageSetUpPr/>
  </sheetPr>
  <dimension ref="A1:P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3" customWidth="1" min="1" max="1"/>
    <col width="8" customWidth="1" min="2" max="2"/>
    <col width="11" customWidth="1" min="3" max="3"/>
    <col width="10" customWidth="1" min="4" max="4"/>
    <col width="8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4" customWidth="1" min="15" max="15"/>
    <col width="40" customWidth="1" min="16" max="16"/>
  </cols>
  <sheetData>
    <row r="1" ht="36" customHeight="1">
      <c r="A1" s="27" t="inlineStr">
        <is>
          <t>DAILY LOG  ·  CYCLE 1  ·  APR 20 — JUN 28</t>
        </is>
      </c>
    </row>
    <row r="2" ht="28" customHeight="1">
      <c r="A2" s="28" t="inlineStr">
        <is>
          <t>DATE</t>
        </is>
      </c>
      <c r="B2" s="28" t="inlineStr">
        <is>
          <t>DAY</t>
        </is>
      </c>
      <c r="C2" s="28" t="inlineStr">
        <is>
          <t>WEIGHT</t>
        </is>
      </c>
      <c r="D2" s="28" t="inlineStr">
        <is>
          <t>SLEEP</t>
        </is>
      </c>
      <c r="E2" s="28" t="inlineStr">
        <is>
          <t>CPAP</t>
        </is>
      </c>
      <c r="F2" s="28" t="inlineStr">
        <is>
          <t>ENERGY</t>
        </is>
      </c>
      <c r="G2" s="28" t="inlineStr">
        <is>
          <t>HUNGER</t>
        </is>
      </c>
      <c r="H2" s="28" t="inlineStr">
        <is>
          <t>TRAIN?</t>
        </is>
      </c>
      <c r="I2" s="28" t="inlineStr">
        <is>
          <t>SESSION</t>
        </is>
      </c>
      <c r="J2" s="28" t="inlineStr">
        <is>
          <t>CARDIO</t>
        </is>
      </c>
      <c r="K2" s="28" t="inlineStr">
        <is>
          <t>CAL</t>
        </is>
      </c>
      <c r="L2" s="28" t="inlineStr">
        <is>
          <t>PROTEIN</t>
        </is>
      </c>
      <c r="M2" s="28" t="inlineStr">
        <is>
          <t>CARBS</t>
        </is>
      </c>
      <c r="N2" s="28" t="inlineStr">
        <is>
          <t>FAT</t>
        </is>
      </c>
      <c r="O2" s="28" t="inlineStr">
        <is>
          <t>MACROS HIT</t>
        </is>
      </c>
      <c r="P2" s="28" t="inlineStr">
        <is>
          <t>NOTES</t>
        </is>
      </c>
    </row>
    <row r="3" ht="22" customHeight="1">
      <c r="A3" s="29" t="n">
        <v>46132</v>
      </c>
      <c r="B3" s="30" t="n">
        <v>1</v>
      </c>
      <c r="C3" s="31" t="n"/>
      <c r="D3" s="31" t="n"/>
      <c r="E3" s="31" t="n"/>
      <c r="F3" s="31" t="n"/>
      <c r="G3" s="31" t="n"/>
      <c r="H3" s="32" t="inlineStr">
        <is>
          <t>Y</t>
        </is>
      </c>
      <c r="I3" s="33" t="inlineStr">
        <is>
          <t>Push</t>
        </is>
      </c>
      <c r="J3" s="31" t="n"/>
      <c r="K3" s="31" t="n"/>
      <c r="L3" s="31" t="n"/>
      <c r="M3" s="31" t="n"/>
      <c r="N3" s="31" t="n"/>
      <c r="O3" s="33">
        <f>IF(AND(K3&gt;=2115,K3&lt;=2335,L3&gt;=215),"Y",IF(K3="","","N"))</f>
        <v/>
      </c>
      <c r="P3" s="25" t="n"/>
    </row>
    <row r="4" ht="22" customHeight="1">
      <c r="A4" s="29" t="n">
        <v>46133</v>
      </c>
      <c r="B4" s="30" t="n">
        <v>2</v>
      </c>
      <c r="C4" s="31" t="n"/>
      <c r="D4" s="31" t="n"/>
      <c r="E4" s="31" t="n"/>
      <c r="F4" s="31" t="n"/>
      <c r="G4" s="31" t="n"/>
      <c r="H4" s="32" t="n"/>
      <c r="I4" s="33" t="n"/>
      <c r="J4" s="31" t="n"/>
      <c r="K4" s="31" t="n"/>
      <c r="L4" s="31" t="n"/>
      <c r="M4" s="31" t="n"/>
      <c r="N4" s="31" t="n"/>
      <c r="O4" s="33">
        <f>IF(AND(K4&gt;=2115,K4&lt;=2335,L4&gt;=215),"Y",IF(K4="","","N"))</f>
        <v/>
      </c>
      <c r="P4" s="25" t="n"/>
    </row>
    <row r="5" ht="22" customHeight="1">
      <c r="A5" s="29" t="n">
        <v>46134</v>
      </c>
      <c r="B5" s="30" t="n">
        <v>3</v>
      </c>
      <c r="C5" s="31" t="n"/>
      <c r="D5" s="31" t="n"/>
      <c r="E5" s="31" t="n"/>
      <c r="F5" s="31" t="n"/>
      <c r="G5" s="31" t="n"/>
      <c r="H5" s="32" t="inlineStr">
        <is>
          <t>Y</t>
        </is>
      </c>
      <c r="I5" s="33" t="inlineStr">
        <is>
          <t>Pull</t>
        </is>
      </c>
      <c r="J5" s="31" t="n"/>
      <c r="K5" s="31" t="n"/>
      <c r="L5" s="31" t="n"/>
      <c r="M5" s="31" t="n"/>
      <c r="N5" s="31" t="n"/>
      <c r="O5" s="33">
        <f>IF(AND(K5&gt;=2115,K5&lt;=2335,L5&gt;=215),"Y",IF(K5="","","N"))</f>
        <v/>
      </c>
      <c r="P5" s="25" t="n"/>
    </row>
    <row r="6" ht="22" customHeight="1">
      <c r="A6" s="29" t="n">
        <v>46135</v>
      </c>
      <c r="B6" s="30" t="n">
        <v>4</v>
      </c>
      <c r="C6" s="31" t="n"/>
      <c r="D6" s="31" t="n"/>
      <c r="E6" s="31" t="n"/>
      <c r="F6" s="31" t="n"/>
      <c r="G6" s="31" t="n"/>
      <c r="H6" s="32" t="n"/>
      <c r="I6" s="33" t="n"/>
      <c r="J6" s="31" t="n"/>
      <c r="K6" s="31" t="n"/>
      <c r="L6" s="31" t="n"/>
      <c r="M6" s="31" t="n"/>
      <c r="N6" s="31" t="n"/>
      <c r="O6" s="33">
        <f>IF(AND(K6&gt;=2115,K6&lt;=2335,L6&gt;=215),"Y",IF(K6="","","N"))</f>
        <v/>
      </c>
      <c r="P6" s="25" t="n"/>
    </row>
    <row r="7" ht="22" customHeight="1">
      <c r="A7" s="29" t="n">
        <v>46136</v>
      </c>
      <c r="B7" s="30" t="n">
        <v>5</v>
      </c>
      <c r="C7" s="31" t="n"/>
      <c r="D7" s="31" t="n"/>
      <c r="E7" s="31" t="n"/>
      <c r="F7" s="31" t="n"/>
      <c r="G7" s="31" t="n"/>
      <c r="H7" s="32" t="inlineStr">
        <is>
          <t>Y</t>
        </is>
      </c>
      <c r="I7" s="33" t="inlineStr">
        <is>
          <t>Legs</t>
        </is>
      </c>
      <c r="J7" s="31" t="n"/>
      <c r="K7" s="31" t="n"/>
      <c r="L7" s="31" t="n"/>
      <c r="M7" s="31" t="n"/>
      <c r="N7" s="31" t="n"/>
      <c r="O7" s="33">
        <f>IF(AND(K7&gt;=2115,K7&lt;=2335,L7&gt;=215),"Y",IF(K7="","","N"))</f>
        <v/>
      </c>
      <c r="P7" s="25" t="n"/>
    </row>
    <row r="8" ht="22" customHeight="1">
      <c r="A8" s="29" t="n">
        <v>46137</v>
      </c>
      <c r="B8" s="30" t="n">
        <v>6</v>
      </c>
      <c r="C8" s="31" t="n"/>
      <c r="D8" s="31" t="n"/>
      <c r="E8" s="31" t="n"/>
      <c r="F8" s="31" t="n"/>
      <c r="G8" s="31" t="n"/>
      <c r="H8" s="32" t="n"/>
      <c r="I8" s="33" t="n"/>
      <c r="J8" s="31" t="n"/>
      <c r="K8" s="31" t="n"/>
      <c r="L8" s="31" t="n"/>
      <c r="M8" s="31" t="n"/>
      <c r="N8" s="31" t="n"/>
      <c r="O8" s="33">
        <f>IF(AND(K8&gt;=2115,K8&lt;=2335,L8&gt;=215),"Y",IF(K8="","","N"))</f>
        <v/>
      </c>
      <c r="P8" s="25" t="n"/>
    </row>
    <row r="9" ht="22" customHeight="1">
      <c r="A9" s="29" t="n">
        <v>46138</v>
      </c>
      <c r="B9" s="30" t="n">
        <v>7</v>
      </c>
      <c r="C9" s="31" t="n"/>
      <c r="D9" s="31" t="n"/>
      <c r="E9" s="31" t="n"/>
      <c r="F9" s="31" t="n"/>
      <c r="G9" s="31" t="n"/>
      <c r="H9" s="32" t="n"/>
      <c r="I9" s="33" t="n"/>
      <c r="J9" s="31" t="n"/>
      <c r="K9" s="31" t="n"/>
      <c r="L9" s="31" t="n"/>
      <c r="M9" s="31" t="n"/>
      <c r="N9" s="31" t="n"/>
      <c r="O9" s="33">
        <f>IF(AND(K9&gt;=2115,K9&lt;=2335,L9&gt;=215),"Y",IF(K9="","","N"))</f>
        <v/>
      </c>
      <c r="P9" s="25" t="n"/>
    </row>
    <row r="10" ht="22" customHeight="1">
      <c r="A10" s="34" t="n">
        <v>46139</v>
      </c>
      <c r="B10" s="35" t="n">
        <v>8</v>
      </c>
      <c r="C10" s="36" t="n"/>
      <c r="D10" s="36" t="n"/>
      <c r="E10" s="36" t="n"/>
      <c r="F10" s="36" t="n"/>
      <c r="G10" s="36" t="n"/>
      <c r="H10" s="37" t="inlineStr">
        <is>
          <t>Y</t>
        </is>
      </c>
      <c r="I10" s="38" t="inlineStr">
        <is>
          <t>Push</t>
        </is>
      </c>
      <c r="J10" s="36" t="n"/>
      <c r="K10" s="36" t="n"/>
      <c r="L10" s="36" t="n"/>
      <c r="M10" s="36" t="n"/>
      <c r="N10" s="36" t="n"/>
      <c r="O10" s="38">
        <f>IF(AND(K10&gt;=2115,K10&lt;=2335,L10&gt;=215),"Y",IF(K10="","","N"))</f>
        <v/>
      </c>
      <c r="P10" s="39" t="n"/>
    </row>
    <row r="11" ht="22" customHeight="1">
      <c r="A11" s="34" t="n">
        <v>46140</v>
      </c>
      <c r="B11" s="35" t="n">
        <v>9</v>
      </c>
      <c r="C11" s="36" t="n"/>
      <c r="D11" s="36" t="n"/>
      <c r="E11" s="36" t="n"/>
      <c r="F11" s="36" t="n"/>
      <c r="G11" s="36" t="n"/>
      <c r="H11" s="37" t="n"/>
      <c r="I11" s="38" t="n"/>
      <c r="J11" s="36" t="n"/>
      <c r="K11" s="36" t="n"/>
      <c r="L11" s="36" t="n"/>
      <c r="M11" s="36" t="n"/>
      <c r="N11" s="36" t="n"/>
      <c r="O11" s="38">
        <f>IF(AND(K11&gt;=2115,K11&lt;=2335,L11&gt;=215),"Y",IF(K11="","","N"))</f>
        <v/>
      </c>
      <c r="P11" s="39" t="n"/>
    </row>
    <row r="12" ht="22" customHeight="1">
      <c r="A12" s="34" t="n">
        <v>46141</v>
      </c>
      <c r="B12" s="35" t="n">
        <v>10</v>
      </c>
      <c r="C12" s="36" t="n"/>
      <c r="D12" s="36" t="n"/>
      <c r="E12" s="36" t="n"/>
      <c r="F12" s="36" t="n"/>
      <c r="G12" s="36" t="n"/>
      <c r="H12" s="37" t="inlineStr">
        <is>
          <t>Y</t>
        </is>
      </c>
      <c r="I12" s="38" t="inlineStr">
        <is>
          <t>Pull</t>
        </is>
      </c>
      <c r="J12" s="36" t="n"/>
      <c r="K12" s="36" t="n"/>
      <c r="L12" s="36" t="n"/>
      <c r="M12" s="36" t="n"/>
      <c r="N12" s="36" t="n"/>
      <c r="O12" s="38">
        <f>IF(AND(K12&gt;=2115,K12&lt;=2335,L12&gt;=215),"Y",IF(K12="","","N"))</f>
        <v/>
      </c>
      <c r="P12" s="39" t="n"/>
    </row>
    <row r="13" ht="22" customHeight="1">
      <c r="A13" s="34" t="n">
        <v>46142</v>
      </c>
      <c r="B13" s="35" t="n">
        <v>11</v>
      </c>
      <c r="C13" s="36" t="n"/>
      <c r="D13" s="36" t="n"/>
      <c r="E13" s="36" t="n"/>
      <c r="F13" s="36" t="n"/>
      <c r="G13" s="36" t="n"/>
      <c r="H13" s="37" t="n"/>
      <c r="I13" s="38" t="n"/>
      <c r="J13" s="36" t="n"/>
      <c r="K13" s="36" t="n"/>
      <c r="L13" s="36" t="n"/>
      <c r="M13" s="36" t="n"/>
      <c r="N13" s="36" t="n"/>
      <c r="O13" s="38">
        <f>IF(AND(K13&gt;=2115,K13&lt;=2335,L13&gt;=215),"Y",IF(K13="","","N"))</f>
        <v/>
      </c>
      <c r="P13" s="39" t="n"/>
    </row>
    <row r="14" ht="22" customHeight="1">
      <c r="A14" s="34" t="n">
        <v>46143</v>
      </c>
      <c r="B14" s="35" t="n">
        <v>12</v>
      </c>
      <c r="C14" s="36" t="n"/>
      <c r="D14" s="36" t="n"/>
      <c r="E14" s="36" t="n"/>
      <c r="F14" s="36" t="n"/>
      <c r="G14" s="36" t="n"/>
      <c r="H14" s="37" t="inlineStr">
        <is>
          <t>Y</t>
        </is>
      </c>
      <c r="I14" s="38" t="inlineStr">
        <is>
          <t>Legs</t>
        </is>
      </c>
      <c r="J14" s="36" t="n"/>
      <c r="K14" s="36" t="n"/>
      <c r="L14" s="36" t="n"/>
      <c r="M14" s="36" t="n"/>
      <c r="N14" s="36" t="n"/>
      <c r="O14" s="38">
        <f>IF(AND(K14&gt;=2115,K14&lt;=2335,L14&gt;=215),"Y",IF(K14="","","N"))</f>
        <v/>
      </c>
      <c r="P14" s="39" t="n"/>
    </row>
    <row r="15" ht="22" customHeight="1">
      <c r="A15" s="34" t="n">
        <v>46144</v>
      </c>
      <c r="B15" s="35" t="n">
        <v>13</v>
      </c>
      <c r="C15" s="36" t="n"/>
      <c r="D15" s="36" t="n"/>
      <c r="E15" s="36" t="n"/>
      <c r="F15" s="36" t="n"/>
      <c r="G15" s="36" t="n"/>
      <c r="H15" s="37" t="n"/>
      <c r="I15" s="38" t="n"/>
      <c r="J15" s="36" t="n"/>
      <c r="K15" s="36" t="n"/>
      <c r="L15" s="36" t="n"/>
      <c r="M15" s="36" t="n"/>
      <c r="N15" s="36" t="n"/>
      <c r="O15" s="38">
        <f>IF(AND(K15&gt;=2115,K15&lt;=2335,L15&gt;=215),"Y",IF(K15="","","N"))</f>
        <v/>
      </c>
      <c r="P15" s="39" t="n"/>
    </row>
    <row r="16" ht="22" customHeight="1">
      <c r="A16" s="34" t="n">
        <v>46145</v>
      </c>
      <c r="B16" s="35" t="n">
        <v>14</v>
      </c>
      <c r="C16" s="36" t="n"/>
      <c r="D16" s="36" t="n"/>
      <c r="E16" s="36" t="n"/>
      <c r="F16" s="36" t="n"/>
      <c r="G16" s="36" t="n"/>
      <c r="H16" s="37" t="n"/>
      <c r="I16" s="38" t="n"/>
      <c r="J16" s="36" t="n"/>
      <c r="K16" s="36" t="n"/>
      <c r="L16" s="36" t="n"/>
      <c r="M16" s="36" t="n"/>
      <c r="N16" s="36" t="n"/>
      <c r="O16" s="38">
        <f>IF(AND(K16&gt;=2115,K16&lt;=2335,L16&gt;=215),"Y",IF(K16="","","N"))</f>
        <v/>
      </c>
      <c r="P16" s="39" t="n"/>
    </row>
    <row r="17" ht="22" customHeight="1">
      <c r="A17" s="29" t="n">
        <v>46146</v>
      </c>
      <c r="B17" s="30" t="n">
        <v>15</v>
      </c>
      <c r="C17" s="31" t="n"/>
      <c r="D17" s="31" t="n"/>
      <c r="E17" s="31" t="n"/>
      <c r="F17" s="31" t="n"/>
      <c r="G17" s="31" t="n"/>
      <c r="H17" s="32" t="inlineStr">
        <is>
          <t>Y</t>
        </is>
      </c>
      <c r="I17" s="33" t="inlineStr">
        <is>
          <t>Push</t>
        </is>
      </c>
      <c r="J17" s="31" t="n"/>
      <c r="K17" s="31" t="n"/>
      <c r="L17" s="31" t="n"/>
      <c r="M17" s="31" t="n"/>
      <c r="N17" s="31" t="n"/>
      <c r="O17" s="33">
        <f>IF(AND(K17&gt;=2115,K17&lt;=2335,L17&gt;=215),"Y",IF(K17="","","N"))</f>
        <v/>
      </c>
      <c r="P17" s="25" t="n"/>
    </row>
    <row r="18" ht="22" customHeight="1">
      <c r="A18" s="29" t="n">
        <v>46147</v>
      </c>
      <c r="B18" s="30" t="n">
        <v>16</v>
      </c>
      <c r="C18" s="31" t="n"/>
      <c r="D18" s="31" t="n"/>
      <c r="E18" s="31" t="n"/>
      <c r="F18" s="31" t="n"/>
      <c r="G18" s="31" t="n"/>
      <c r="H18" s="32" t="n"/>
      <c r="I18" s="33" t="n"/>
      <c r="J18" s="31" t="n"/>
      <c r="K18" s="31" t="n"/>
      <c r="L18" s="31" t="n"/>
      <c r="M18" s="31" t="n"/>
      <c r="N18" s="31" t="n"/>
      <c r="O18" s="33">
        <f>IF(AND(K18&gt;=2115,K18&lt;=2335,L18&gt;=215),"Y",IF(K18="","","N"))</f>
        <v/>
      </c>
      <c r="P18" s="25" t="n"/>
    </row>
    <row r="19" ht="22" customHeight="1">
      <c r="A19" s="29" t="n">
        <v>46148</v>
      </c>
      <c r="B19" s="30" t="n">
        <v>17</v>
      </c>
      <c r="C19" s="31" t="n"/>
      <c r="D19" s="31" t="n"/>
      <c r="E19" s="31" t="n"/>
      <c r="F19" s="31" t="n"/>
      <c r="G19" s="31" t="n"/>
      <c r="H19" s="32" t="inlineStr">
        <is>
          <t>Y</t>
        </is>
      </c>
      <c r="I19" s="33" t="inlineStr">
        <is>
          <t>Pull</t>
        </is>
      </c>
      <c r="J19" s="31" t="n"/>
      <c r="K19" s="31" t="n"/>
      <c r="L19" s="31" t="n"/>
      <c r="M19" s="31" t="n"/>
      <c r="N19" s="31" t="n"/>
      <c r="O19" s="33">
        <f>IF(AND(K19&gt;=2115,K19&lt;=2335,L19&gt;=215),"Y",IF(K19="","","N"))</f>
        <v/>
      </c>
      <c r="P19" s="25" t="n"/>
    </row>
    <row r="20" ht="22" customHeight="1">
      <c r="A20" s="29" t="n">
        <v>46149</v>
      </c>
      <c r="B20" s="30" t="n">
        <v>18</v>
      </c>
      <c r="C20" s="31" t="n"/>
      <c r="D20" s="31" t="n"/>
      <c r="E20" s="31" t="n"/>
      <c r="F20" s="31" t="n"/>
      <c r="G20" s="31" t="n"/>
      <c r="H20" s="32" t="n"/>
      <c r="I20" s="33" t="n"/>
      <c r="J20" s="31" t="n"/>
      <c r="K20" s="31" t="n"/>
      <c r="L20" s="31" t="n"/>
      <c r="M20" s="31" t="n"/>
      <c r="N20" s="31" t="n"/>
      <c r="O20" s="33">
        <f>IF(AND(K20&gt;=2115,K20&lt;=2335,L20&gt;=215),"Y",IF(K20="","","N"))</f>
        <v/>
      </c>
      <c r="P20" s="25" t="n"/>
    </row>
    <row r="21" ht="22" customHeight="1">
      <c r="A21" s="29" t="n">
        <v>46150</v>
      </c>
      <c r="B21" s="30" t="n">
        <v>19</v>
      </c>
      <c r="C21" s="31" t="n"/>
      <c r="D21" s="31" t="n"/>
      <c r="E21" s="31" t="n"/>
      <c r="F21" s="31" t="n"/>
      <c r="G21" s="31" t="n"/>
      <c r="H21" s="32" t="inlineStr">
        <is>
          <t>Y</t>
        </is>
      </c>
      <c r="I21" s="33" t="inlineStr">
        <is>
          <t>Legs</t>
        </is>
      </c>
      <c r="J21" s="31" t="n"/>
      <c r="K21" s="31" t="n"/>
      <c r="L21" s="31" t="n"/>
      <c r="M21" s="31" t="n"/>
      <c r="N21" s="31" t="n"/>
      <c r="O21" s="33">
        <f>IF(AND(K21&gt;=2115,K21&lt;=2335,L21&gt;=215),"Y",IF(K21="","","N"))</f>
        <v/>
      </c>
      <c r="P21" s="25" t="n"/>
    </row>
    <row r="22" ht="22" customHeight="1">
      <c r="A22" s="29" t="n">
        <v>46151</v>
      </c>
      <c r="B22" s="30" t="n">
        <v>20</v>
      </c>
      <c r="C22" s="31" t="n"/>
      <c r="D22" s="31" t="n"/>
      <c r="E22" s="31" t="n"/>
      <c r="F22" s="31" t="n"/>
      <c r="G22" s="31" t="n"/>
      <c r="H22" s="32" t="n"/>
      <c r="I22" s="33" t="n"/>
      <c r="J22" s="31" t="n"/>
      <c r="K22" s="31" t="n"/>
      <c r="L22" s="31" t="n"/>
      <c r="M22" s="31" t="n"/>
      <c r="N22" s="31" t="n"/>
      <c r="O22" s="33">
        <f>IF(AND(K22&gt;=2115,K22&lt;=2335,L22&gt;=215),"Y",IF(K22="","","N"))</f>
        <v/>
      </c>
      <c r="P22" s="25" t="n"/>
    </row>
    <row r="23" ht="22" customHeight="1">
      <c r="A23" s="29" t="n">
        <v>46152</v>
      </c>
      <c r="B23" s="30" t="n">
        <v>21</v>
      </c>
      <c r="C23" s="31" t="n"/>
      <c r="D23" s="31" t="n"/>
      <c r="E23" s="31" t="n"/>
      <c r="F23" s="31" t="n"/>
      <c r="G23" s="31" t="n"/>
      <c r="H23" s="32" t="n"/>
      <c r="I23" s="33" t="n"/>
      <c r="J23" s="31" t="n"/>
      <c r="K23" s="31" t="n"/>
      <c r="L23" s="31" t="n"/>
      <c r="M23" s="31" t="n"/>
      <c r="N23" s="31" t="n"/>
      <c r="O23" s="33">
        <f>IF(AND(K23&gt;=2115,K23&lt;=2335,L23&gt;=215),"Y",IF(K23="","","N"))</f>
        <v/>
      </c>
      <c r="P23" s="25" t="n"/>
    </row>
    <row r="24" ht="22" customHeight="1">
      <c r="A24" s="34" t="n">
        <v>46153</v>
      </c>
      <c r="B24" s="35" t="n">
        <v>22</v>
      </c>
      <c r="C24" s="36" t="n"/>
      <c r="D24" s="36" t="n"/>
      <c r="E24" s="36" t="n"/>
      <c r="F24" s="36" t="n"/>
      <c r="G24" s="36" t="n"/>
      <c r="H24" s="37" t="inlineStr">
        <is>
          <t>Y</t>
        </is>
      </c>
      <c r="I24" s="38" t="inlineStr">
        <is>
          <t>Push</t>
        </is>
      </c>
      <c r="J24" s="36" t="n"/>
      <c r="K24" s="36" t="n"/>
      <c r="L24" s="36" t="n"/>
      <c r="M24" s="36" t="n"/>
      <c r="N24" s="36" t="n"/>
      <c r="O24" s="38">
        <f>IF(AND(K24&gt;=2115,K24&lt;=2335,L24&gt;=215),"Y",IF(K24="","","N"))</f>
        <v/>
      </c>
      <c r="P24" s="39" t="n"/>
    </row>
    <row r="25" ht="22" customHeight="1">
      <c r="A25" s="34" t="n">
        <v>46154</v>
      </c>
      <c r="B25" s="35" t="n">
        <v>23</v>
      </c>
      <c r="C25" s="36" t="n"/>
      <c r="D25" s="36" t="n"/>
      <c r="E25" s="36" t="n"/>
      <c r="F25" s="36" t="n"/>
      <c r="G25" s="36" t="n"/>
      <c r="H25" s="37" t="n"/>
      <c r="I25" s="38" t="n"/>
      <c r="J25" s="36" t="n"/>
      <c r="K25" s="36" t="n"/>
      <c r="L25" s="36" t="n"/>
      <c r="M25" s="36" t="n"/>
      <c r="N25" s="36" t="n"/>
      <c r="O25" s="38">
        <f>IF(AND(K25&gt;=2115,K25&lt;=2335,L25&gt;=215),"Y",IF(K25="","","N"))</f>
        <v/>
      </c>
      <c r="P25" s="39" t="n"/>
    </row>
    <row r="26" ht="22" customHeight="1">
      <c r="A26" s="34" t="n">
        <v>46155</v>
      </c>
      <c r="B26" s="35" t="n">
        <v>24</v>
      </c>
      <c r="C26" s="36" t="n"/>
      <c r="D26" s="36" t="n"/>
      <c r="E26" s="36" t="n"/>
      <c r="F26" s="36" t="n"/>
      <c r="G26" s="36" t="n"/>
      <c r="H26" s="37" t="inlineStr">
        <is>
          <t>Y</t>
        </is>
      </c>
      <c r="I26" s="38" t="inlineStr">
        <is>
          <t>Pull</t>
        </is>
      </c>
      <c r="J26" s="36" t="n"/>
      <c r="K26" s="36" t="n"/>
      <c r="L26" s="36" t="n"/>
      <c r="M26" s="36" t="n"/>
      <c r="N26" s="36" t="n"/>
      <c r="O26" s="38">
        <f>IF(AND(K26&gt;=2115,K26&lt;=2335,L26&gt;=215),"Y",IF(K26="","","N"))</f>
        <v/>
      </c>
      <c r="P26" s="39" t="n"/>
    </row>
    <row r="27" ht="22" customHeight="1">
      <c r="A27" s="34" t="n">
        <v>46156</v>
      </c>
      <c r="B27" s="35" t="n">
        <v>25</v>
      </c>
      <c r="C27" s="36" t="n"/>
      <c r="D27" s="36" t="n"/>
      <c r="E27" s="36" t="n"/>
      <c r="F27" s="36" t="n"/>
      <c r="G27" s="36" t="n"/>
      <c r="H27" s="37" t="n"/>
      <c r="I27" s="38" t="n"/>
      <c r="J27" s="36" t="n"/>
      <c r="K27" s="36" t="n"/>
      <c r="L27" s="36" t="n"/>
      <c r="M27" s="36" t="n"/>
      <c r="N27" s="36" t="n"/>
      <c r="O27" s="38">
        <f>IF(AND(K27&gt;=2115,K27&lt;=2335,L27&gt;=215),"Y",IF(K27="","","N"))</f>
        <v/>
      </c>
      <c r="P27" s="39" t="n"/>
    </row>
    <row r="28" ht="22" customHeight="1">
      <c r="A28" s="34" t="n">
        <v>46157</v>
      </c>
      <c r="B28" s="35" t="n">
        <v>26</v>
      </c>
      <c r="C28" s="36" t="n"/>
      <c r="D28" s="36" t="n"/>
      <c r="E28" s="36" t="n"/>
      <c r="F28" s="36" t="n"/>
      <c r="G28" s="36" t="n"/>
      <c r="H28" s="37" t="inlineStr">
        <is>
          <t>Y</t>
        </is>
      </c>
      <c r="I28" s="38" t="inlineStr">
        <is>
          <t>Legs</t>
        </is>
      </c>
      <c r="J28" s="36" t="n"/>
      <c r="K28" s="36" t="n"/>
      <c r="L28" s="36" t="n"/>
      <c r="M28" s="36" t="n"/>
      <c r="N28" s="36" t="n"/>
      <c r="O28" s="38">
        <f>IF(AND(K28&gt;=2115,K28&lt;=2335,L28&gt;=215),"Y",IF(K28="","","N"))</f>
        <v/>
      </c>
      <c r="P28" s="39" t="n"/>
    </row>
    <row r="29" ht="22" customHeight="1">
      <c r="A29" s="34" t="n">
        <v>46158</v>
      </c>
      <c r="B29" s="35" t="n">
        <v>27</v>
      </c>
      <c r="C29" s="36" t="n"/>
      <c r="D29" s="36" t="n"/>
      <c r="E29" s="36" t="n"/>
      <c r="F29" s="36" t="n"/>
      <c r="G29" s="36" t="n"/>
      <c r="H29" s="37" t="n"/>
      <c r="I29" s="38" t="n"/>
      <c r="J29" s="36" t="n"/>
      <c r="K29" s="36" t="n"/>
      <c r="L29" s="36" t="n"/>
      <c r="M29" s="36" t="n"/>
      <c r="N29" s="36" t="n"/>
      <c r="O29" s="38">
        <f>IF(AND(K29&gt;=2115,K29&lt;=2335,L29&gt;=215),"Y",IF(K29="","","N"))</f>
        <v/>
      </c>
      <c r="P29" s="39" t="n"/>
    </row>
    <row r="30" ht="22" customHeight="1">
      <c r="A30" s="34" t="n">
        <v>46159</v>
      </c>
      <c r="B30" s="35" t="n">
        <v>28</v>
      </c>
      <c r="C30" s="36" t="n"/>
      <c r="D30" s="36" t="n"/>
      <c r="E30" s="36" t="n"/>
      <c r="F30" s="36" t="n"/>
      <c r="G30" s="36" t="n"/>
      <c r="H30" s="37" t="n"/>
      <c r="I30" s="38" t="n"/>
      <c r="J30" s="36" t="n"/>
      <c r="K30" s="36" t="n"/>
      <c r="L30" s="36" t="n"/>
      <c r="M30" s="36" t="n"/>
      <c r="N30" s="36" t="n"/>
      <c r="O30" s="38">
        <f>IF(AND(K30&gt;=2115,K30&lt;=2335,L30&gt;=215),"Y",IF(K30="","","N"))</f>
        <v/>
      </c>
      <c r="P30" s="39" t="n"/>
    </row>
    <row r="31" ht="22" customHeight="1">
      <c r="A31" s="29" t="n">
        <v>46160</v>
      </c>
      <c r="B31" s="30" t="n">
        <v>29</v>
      </c>
      <c r="C31" s="31" t="n"/>
      <c r="D31" s="31" t="n"/>
      <c r="E31" s="31" t="n"/>
      <c r="F31" s="31" t="n"/>
      <c r="G31" s="31" t="n"/>
      <c r="H31" s="32" t="inlineStr">
        <is>
          <t>Y</t>
        </is>
      </c>
      <c r="I31" s="33" t="inlineStr">
        <is>
          <t>Push</t>
        </is>
      </c>
      <c r="J31" s="31" t="n"/>
      <c r="K31" s="31" t="n"/>
      <c r="L31" s="31" t="n"/>
      <c r="M31" s="31" t="n"/>
      <c r="N31" s="31" t="n"/>
      <c r="O31" s="33">
        <f>IF(AND(K31&gt;=2115,K31&lt;=2335,L31&gt;=215),"Y",IF(K31="","","N"))</f>
        <v/>
      </c>
      <c r="P31" s="25" t="n"/>
    </row>
    <row r="32" ht="22" customHeight="1">
      <c r="A32" s="29" t="n">
        <v>46161</v>
      </c>
      <c r="B32" s="30" t="n">
        <v>30</v>
      </c>
      <c r="C32" s="31" t="n"/>
      <c r="D32" s="31" t="n"/>
      <c r="E32" s="31" t="n"/>
      <c r="F32" s="31" t="n"/>
      <c r="G32" s="31" t="n"/>
      <c r="H32" s="32" t="n"/>
      <c r="I32" s="33" t="n"/>
      <c r="J32" s="31" t="n"/>
      <c r="K32" s="31" t="n"/>
      <c r="L32" s="31" t="n"/>
      <c r="M32" s="31" t="n"/>
      <c r="N32" s="31" t="n"/>
      <c r="O32" s="33">
        <f>IF(AND(K32&gt;=2115,K32&lt;=2335,L32&gt;=215),"Y",IF(K32="","","N"))</f>
        <v/>
      </c>
      <c r="P32" s="25" t="n"/>
    </row>
    <row r="33" ht="22" customHeight="1">
      <c r="A33" s="29" t="n">
        <v>46162</v>
      </c>
      <c r="B33" s="30" t="n">
        <v>31</v>
      </c>
      <c r="C33" s="31" t="n"/>
      <c r="D33" s="31" t="n"/>
      <c r="E33" s="31" t="n"/>
      <c r="F33" s="31" t="n"/>
      <c r="G33" s="31" t="n"/>
      <c r="H33" s="32" t="inlineStr">
        <is>
          <t>Y</t>
        </is>
      </c>
      <c r="I33" s="33" t="inlineStr">
        <is>
          <t>Pull</t>
        </is>
      </c>
      <c r="J33" s="31" t="n"/>
      <c r="K33" s="31" t="n"/>
      <c r="L33" s="31" t="n"/>
      <c r="M33" s="31" t="n"/>
      <c r="N33" s="31" t="n"/>
      <c r="O33" s="33">
        <f>IF(AND(K33&gt;=2115,K33&lt;=2335,L33&gt;=215),"Y",IF(K33="","","N"))</f>
        <v/>
      </c>
      <c r="P33" s="25" t="n"/>
    </row>
    <row r="34" ht="22" customHeight="1">
      <c r="A34" s="29" t="n">
        <v>46163</v>
      </c>
      <c r="B34" s="30" t="n">
        <v>32</v>
      </c>
      <c r="C34" s="31" t="n"/>
      <c r="D34" s="31" t="n"/>
      <c r="E34" s="31" t="n"/>
      <c r="F34" s="31" t="n"/>
      <c r="G34" s="31" t="n"/>
      <c r="H34" s="32" t="n"/>
      <c r="I34" s="33" t="n"/>
      <c r="J34" s="31" t="n"/>
      <c r="K34" s="31" t="n"/>
      <c r="L34" s="31" t="n"/>
      <c r="M34" s="31" t="n"/>
      <c r="N34" s="31" t="n"/>
      <c r="O34" s="33">
        <f>IF(AND(K34&gt;=2115,K34&lt;=2335,L34&gt;=215),"Y",IF(K34="","","N"))</f>
        <v/>
      </c>
      <c r="P34" s="25" t="n"/>
    </row>
    <row r="35" ht="22" customHeight="1">
      <c r="A35" s="29" t="n">
        <v>46164</v>
      </c>
      <c r="B35" s="30" t="n">
        <v>33</v>
      </c>
      <c r="C35" s="31" t="n"/>
      <c r="D35" s="31" t="n"/>
      <c r="E35" s="31" t="n"/>
      <c r="F35" s="31" t="n"/>
      <c r="G35" s="31" t="n"/>
      <c r="H35" s="32" t="inlineStr">
        <is>
          <t>Y</t>
        </is>
      </c>
      <c r="I35" s="33" t="inlineStr">
        <is>
          <t>Legs</t>
        </is>
      </c>
      <c r="J35" s="31" t="n"/>
      <c r="K35" s="31" t="n"/>
      <c r="L35" s="31" t="n"/>
      <c r="M35" s="31" t="n"/>
      <c r="N35" s="31" t="n"/>
      <c r="O35" s="33">
        <f>IF(AND(K35&gt;=2115,K35&lt;=2335,L35&gt;=215),"Y",IF(K35="","","N"))</f>
        <v/>
      </c>
      <c r="P35" s="25" t="n"/>
    </row>
    <row r="36" ht="22" customHeight="1">
      <c r="A36" s="29" t="n">
        <v>46165</v>
      </c>
      <c r="B36" s="30" t="n">
        <v>34</v>
      </c>
      <c r="C36" s="31" t="n"/>
      <c r="D36" s="31" t="n"/>
      <c r="E36" s="31" t="n"/>
      <c r="F36" s="31" t="n"/>
      <c r="G36" s="31" t="n"/>
      <c r="H36" s="32" t="n"/>
      <c r="I36" s="33" t="n"/>
      <c r="J36" s="31" t="n"/>
      <c r="K36" s="31" t="n"/>
      <c r="L36" s="31" t="n"/>
      <c r="M36" s="31" t="n"/>
      <c r="N36" s="31" t="n"/>
      <c r="O36" s="33">
        <f>IF(AND(K36&gt;=2115,K36&lt;=2335,L36&gt;=215),"Y",IF(K36="","","N"))</f>
        <v/>
      </c>
      <c r="P36" s="25" t="n"/>
    </row>
    <row r="37" ht="22" customHeight="1">
      <c r="A37" s="29" t="n">
        <v>46166</v>
      </c>
      <c r="B37" s="30" t="n">
        <v>35</v>
      </c>
      <c r="C37" s="31" t="n"/>
      <c r="D37" s="31" t="n"/>
      <c r="E37" s="31" t="n"/>
      <c r="F37" s="31" t="n"/>
      <c r="G37" s="31" t="n"/>
      <c r="H37" s="32" t="n"/>
      <c r="I37" s="33" t="n"/>
      <c r="J37" s="31" t="n"/>
      <c r="K37" s="31" t="n"/>
      <c r="L37" s="31" t="n"/>
      <c r="M37" s="31" t="n"/>
      <c r="N37" s="31" t="n"/>
      <c r="O37" s="33">
        <f>IF(AND(K37&gt;=2115,K37&lt;=2335,L37&gt;=215),"Y",IF(K37="","","N"))</f>
        <v/>
      </c>
      <c r="P37" s="25" t="n"/>
    </row>
    <row r="38" ht="22" customHeight="1">
      <c r="A38" s="34" t="n">
        <v>46167</v>
      </c>
      <c r="B38" s="35" t="n">
        <v>36</v>
      </c>
      <c r="C38" s="36" t="n"/>
      <c r="D38" s="36" t="n"/>
      <c r="E38" s="36" t="n"/>
      <c r="F38" s="36" t="n"/>
      <c r="G38" s="36" t="n"/>
      <c r="H38" s="37" t="inlineStr">
        <is>
          <t>Y</t>
        </is>
      </c>
      <c r="I38" s="38" t="inlineStr">
        <is>
          <t>Push</t>
        </is>
      </c>
      <c r="J38" s="36" t="n"/>
      <c r="K38" s="36" t="n"/>
      <c r="L38" s="36" t="n"/>
      <c r="M38" s="36" t="n"/>
      <c r="N38" s="36" t="n"/>
      <c r="O38" s="38">
        <f>IF(AND(K38&gt;=2115,K38&lt;=2335,L38&gt;=215),"Y",IF(K38="","","N"))</f>
        <v/>
      </c>
      <c r="P38" s="39" t="n"/>
    </row>
    <row r="39" ht="22" customHeight="1">
      <c r="A39" s="34" t="n">
        <v>46168</v>
      </c>
      <c r="B39" s="35" t="n">
        <v>37</v>
      </c>
      <c r="C39" s="36" t="n"/>
      <c r="D39" s="36" t="n"/>
      <c r="E39" s="36" t="n"/>
      <c r="F39" s="36" t="n"/>
      <c r="G39" s="36" t="n"/>
      <c r="H39" s="37" t="n"/>
      <c r="I39" s="38" t="n"/>
      <c r="J39" s="36" t="n"/>
      <c r="K39" s="36" t="n"/>
      <c r="L39" s="36" t="n"/>
      <c r="M39" s="36" t="n"/>
      <c r="N39" s="36" t="n"/>
      <c r="O39" s="38">
        <f>IF(AND(K39&gt;=2115,K39&lt;=2335,L39&gt;=215),"Y",IF(K39="","","N"))</f>
        <v/>
      </c>
      <c r="P39" s="39" t="n"/>
    </row>
    <row r="40" ht="22" customHeight="1">
      <c r="A40" s="34" t="n">
        <v>46169</v>
      </c>
      <c r="B40" s="35" t="n">
        <v>38</v>
      </c>
      <c r="C40" s="36" t="n"/>
      <c r="D40" s="36" t="n"/>
      <c r="E40" s="36" t="n"/>
      <c r="F40" s="36" t="n"/>
      <c r="G40" s="36" t="n"/>
      <c r="H40" s="37" t="inlineStr">
        <is>
          <t>Y</t>
        </is>
      </c>
      <c r="I40" s="38" t="inlineStr">
        <is>
          <t>Pull</t>
        </is>
      </c>
      <c r="J40" s="36" t="n"/>
      <c r="K40" s="36" t="n"/>
      <c r="L40" s="36" t="n"/>
      <c r="M40" s="36" t="n"/>
      <c r="N40" s="36" t="n"/>
      <c r="O40" s="38">
        <f>IF(AND(K40&gt;=2115,K40&lt;=2335,L40&gt;=215),"Y",IF(K40="","","N"))</f>
        <v/>
      </c>
      <c r="P40" s="39" t="n"/>
    </row>
    <row r="41" ht="22" customHeight="1">
      <c r="A41" s="34" t="n">
        <v>46170</v>
      </c>
      <c r="B41" s="35" t="n">
        <v>39</v>
      </c>
      <c r="C41" s="36" t="n"/>
      <c r="D41" s="36" t="n"/>
      <c r="E41" s="36" t="n"/>
      <c r="F41" s="36" t="n"/>
      <c r="G41" s="36" t="n"/>
      <c r="H41" s="37" t="n"/>
      <c r="I41" s="38" t="n"/>
      <c r="J41" s="36" t="n"/>
      <c r="K41" s="36" t="n"/>
      <c r="L41" s="36" t="n"/>
      <c r="M41" s="36" t="n"/>
      <c r="N41" s="36" t="n"/>
      <c r="O41" s="38">
        <f>IF(AND(K41&gt;=2115,K41&lt;=2335,L41&gt;=215),"Y",IF(K41="","","N"))</f>
        <v/>
      </c>
      <c r="P41" s="39" t="n"/>
    </row>
    <row r="42" ht="22" customHeight="1">
      <c r="A42" s="34" t="n">
        <v>46171</v>
      </c>
      <c r="B42" s="35" t="n">
        <v>40</v>
      </c>
      <c r="C42" s="36" t="n"/>
      <c r="D42" s="36" t="n"/>
      <c r="E42" s="36" t="n"/>
      <c r="F42" s="36" t="n"/>
      <c r="G42" s="36" t="n"/>
      <c r="H42" s="37" t="inlineStr">
        <is>
          <t>Y</t>
        </is>
      </c>
      <c r="I42" s="38" t="inlineStr">
        <is>
          <t>Legs</t>
        </is>
      </c>
      <c r="J42" s="36" t="n"/>
      <c r="K42" s="36" t="n"/>
      <c r="L42" s="36" t="n"/>
      <c r="M42" s="36" t="n"/>
      <c r="N42" s="36" t="n"/>
      <c r="O42" s="38">
        <f>IF(AND(K42&gt;=2115,K42&lt;=2335,L42&gt;=215),"Y",IF(K42="","","N"))</f>
        <v/>
      </c>
      <c r="P42" s="39" t="n"/>
    </row>
    <row r="43" ht="22" customHeight="1">
      <c r="A43" s="34" t="n">
        <v>46172</v>
      </c>
      <c r="B43" s="35" t="n">
        <v>41</v>
      </c>
      <c r="C43" s="36" t="n"/>
      <c r="D43" s="36" t="n"/>
      <c r="E43" s="36" t="n"/>
      <c r="F43" s="36" t="n"/>
      <c r="G43" s="36" t="n"/>
      <c r="H43" s="37" t="n"/>
      <c r="I43" s="38" t="n"/>
      <c r="J43" s="36" t="n"/>
      <c r="K43" s="36" t="n"/>
      <c r="L43" s="36" t="n"/>
      <c r="M43" s="36" t="n"/>
      <c r="N43" s="36" t="n"/>
      <c r="O43" s="38">
        <f>IF(AND(K43&gt;=2115,K43&lt;=2335,L43&gt;=215),"Y",IF(K43="","","N"))</f>
        <v/>
      </c>
      <c r="P43" s="39" t="n"/>
    </row>
    <row r="44" ht="22" customHeight="1">
      <c r="A44" s="34" t="n">
        <v>46173</v>
      </c>
      <c r="B44" s="35" t="n">
        <v>42</v>
      </c>
      <c r="C44" s="36" t="n"/>
      <c r="D44" s="36" t="n"/>
      <c r="E44" s="36" t="n"/>
      <c r="F44" s="36" t="n"/>
      <c r="G44" s="36" t="n"/>
      <c r="H44" s="37" t="n"/>
      <c r="I44" s="38" t="n"/>
      <c r="J44" s="36" t="n"/>
      <c r="K44" s="36" t="n"/>
      <c r="L44" s="36" t="n"/>
      <c r="M44" s="36" t="n"/>
      <c r="N44" s="36" t="n"/>
      <c r="O44" s="38">
        <f>IF(AND(K44&gt;=2115,K44&lt;=2335,L44&gt;=215),"Y",IF(K44="","","N"))</f>
        <v/>
      </c>
      <c r="P44" s="39" t="n"/>
    </row>
    <row r="45" ht="22" customHeight="1">
      <c r="A45" s="29" t="n">
        <v>46174</v>
      </c>
      <c r="B45" s="30" t="n">
        <v>43</v>
      </c>
      <c r="C45" s="31" t="n"/>
      <c r="D45" s="31" t="n"/>
      <c r="E45" s="31" t="n"/>
      <c r="F45" s="31" t="n"/>
      <c r="G45" s="31" t="n"/>
      <c r="H45" s="32" t="inlineStr">
        <is>
          <t>Y</t>
        </is>
      </c>
      <c r="I45" s="33" t="inlineStr">
        <is>
          <t>Push</t>
        </is>
      </c>
      <c r="J45" s="31" t="n"/>
      <c r="K45" s="31" t="n"/>
      <c r="L45" s="31" t="n"/>
      <c r="M45" s="31" t="n"/>
      <c r="N45" s="31" t="n"/>
      <c r="O45" s="33">
        <f>IF(AND(K45&gt;=2115,K45&lt;=2335,L45&gt;=215),"Y",IF(K45="","","N"))</f>
        <v/>
      </c>
      <c r="P45" s="25" t="n"/>
    </row>
    <row r="46" ht="22" customHeight="1">
      <c r="A46" s="29" t="n">
        <v>46175</v>
      </c>
      <c r="B46" s="30" t="n">
        <v>44</v>
      </c>
      <c r="C46" s="31" t="n"/>
      <c r="D46" s="31" t="n"/>
      <c r="E46" s="31" t="n"/>
      <c r="F46" s="31" t="n"/>
      <c r="G46" s="31" t="n"/>
      <c r="H46" s="32" t="n"/>
      <c r="I46" s="33" t="n"/>
      <c r="J46" s="31" t="n"/>
      <c r="K46" s="31" t="n"/>
      <c r="L46" s="31" t="n"/>
      <c r="M46" s="31" t="n"/>
      <c r="N46" s="31" t="n"/>
      <c r="O46" s="33">
        <f>IF(AND(K46&gt;=2115,K46&lt;=2335,L46&gt;=215),"Y",IF(K46="","","N"))</f>
        <v/>
      </c>
      <c r="P46" s="25" t="n"/>
    </row>
    <row r="47" ht="22" customHeight="1">
      <c r="A47" s="29" t="n">
        <v>46176</v>
      </c>
      <c r="B47" s="30" t="n">
        <v>45</v>
      </c>
      <c r="C47" s="31" t="n"/>
      <c r="D47" s="31" t="n"/>
      <c r="E47" s="31" t="n"/>
      <c r="F47" s="31" t="n"/>
      <c r="G47" s="31" t="n"/>
      <c r="H47" s="32" t="inlineStr">
        <is>
          <t>Y</t>
        </is>
      </c>
      <c r="I47" s="33" t="inlineStr">
        <is>
          <t>Pull</t>
        </is>
      </c>
      <c r="J47" s="31" t="n"/>
      <c r="K47" s="31" t="n"/>
      <c r="L47" s="31" t="n"/>
      <c r="M47" s="31" t="n"/>
      <c r="N47" s="31" t="n"/>
      <c r="O47" s="33">
        <f>IF(AND(K47&gt;=2115,K47&lt;=2335,L47&gt;=215),"Y",IF(K47="","","N"))</f>
        <v/>
      </c>
      <c r="P47" s="25" t="n"/>
    </row>
    <row r="48" ht="22" customHeight="1">
      <c r="A48" s="29" t="n">
        <v>46177</v>
      </c>
      <c r="B48" s="30" t="n">
        <v>46</v>
      </c>
      <c r="C48" s="31" t="n"/>
      <c r="D48" s="31" t="n"/>
      <c r="E48" s="31" t="n"/>
      <c r="F48" s="31" t="n"/>
      <c r="G48" s="31" t="n"/>
      <c r="H48" s="32" t="n"/>
      <c r="I48" s="33" t="n"/>
      <c r="J48" s="31" t="n"/>
      <c r="K48" s="31" t="n"/>
      <c r="L48" s="31" t="n"/>
      <c r="M48" s="31" t="n"/>
      <c r="N48" s="31" t="n"/>
      <c r="O48" s="33">
        <f>IF(AND(K48&gt;=2115,K48&lt;=2335,L48&gt;=215),"Y",IF(K48="","","N"))</f>
        <v/>
      </c>
      <c r="P48" s="25" t="n"/>
    </row>
    <row r="49" ht="22" customHeight="1">
      <c r="A49" s="29" t="n">
        <v>46178</v>
      </c>
      <c r="B49" s="30" t="n">
        <v>47</v>
      </c>
      <c r="C49" s="31" t="n"/>
      <c r="D49" s="31" t="n"/>
      <c r="E49" s="31" t="n"/>
      <c r="F49" s="31" t="n"/>
      <c r="G49" s="31" t="n"/>
      <c r="H49" s="32" t="inlineStr">
        <is>
          <t>Y</t>
        </is>
      </c>
      <c r="I49" s="33" t="inlineStr">
        <is>
          <t>Legs</t>
        </is>
      </c>
      <c r="J49" s="31" t="n"/>
      <c r="K49" s="31" t="n"/>
      <c r="L49" s="31" t="n"/>
      <c r="M49" s="31" t="n"/>
      <c r="N49" s="31" t="n"/>
      <c r="O49" s="33">
        <f>IF(AND(K49&gt;=2115,K49&lt;=2335,L49&gt;=215),"Y",IF(K49="","","N"))</f>
        <v/>
      </c>
      <c r="P49" s="25" t="n"/>
    </row>
    <row r="50" ht="22" customHeight="1">
      <c r="A50" s="29" t="n">
        <v>46179</v>
      </c>
      <c r="B50" s="30" t="n">
        <v>48</v>
      </c>
      <c r="C50" s="31" t="n"/>
      <c r="D50" s="31" t="n"/>
      <c r="E50" s="31" t="n"/>
      <c r="F50" s="31" t="n"/>
      <c r="G50" s="31" t="n"/>
      <c r="H50" s="32" t="n"/>
      <c r="I50" s="33" t="n"/>
      <c r="J50" s="31" t="n"/>
      <c r="K50" s="31" t="n"/>
      <c r="L50" s="31" t="n"/>
      <c r="M50" s="31" t="n"/>
      <c r="N50" s="31" t="n"/>
      <c r="O50" s="33">
        <f>IF(AND(K50&gt;=2115,K50&lt;=2335,L50&gt;=215),"Y",IF(K50="","","N"))</f>
        <v/>
      </c>
      <c r="P50" s="25" t="n"/>
    </row>
    <row r="51" ht="22" customHeight="1">
      <c r="A51" s="29" t="n">
        <v>46180</v>
      </c>
      <c r="B51" s="30" t="n">
        <v>49</v>
      </c>
      <c r="C51" s="31" t="n"/>
      <c r="D51" s="31" t="n"/>
      <c r="E51" s="31" t="n"/>
      <c r="F51" s="31" t="n"/>
      <c r="G51" s="31" t="n"/>
      <c r="H51" s="32" t="n"/>
      <c r="I51" s="33" t="n"/>
      <c r="J51" s="31" t="n"/>
      <c r="K51" s="31" t="n"/>
      <c r="L51" s="31" t="n"/>
      <c r="M51" s="31" t="n"/>
      <c r="N51" s="31" t="n"/>
      <c r="O51" s="33">
        <f>IF(AND(K51&gt;=2115,K51&lt;=2335,L51&gt;=215),"Y",IF(K51="","","N"))</f>
        <v/>
      </c>
      <c r="P51" s="25" t="n"/>
    </row>
    <row r="52" ht="22" customHeight="1">
      <c r="A52" s="34" t="n">
        <v>46181</v>
      </c>
      <c r="B52" s="35" t="n">
        <v>50</v>
      </c>
      <c r="C52" s="36" t="n"/>
      <c r="D52" s="36" t="n"/>
      <c r="E52" s="36" t="n"/>
      <c r="F52" s="36" t="n"/>
      <c r="G52" s="36" t="n"/>
      <c r="H52" s="37" t="inlineStr">
        <is>
          <t>Y</t>
        </is>
      </c>
      <c r="I52" s="38" t="inlineStr">
        <is>
          <t>Push</t>
        </is>
      </c>
      <c r="J52" s="36" t="n"/>
      <c r="K52" s="36" t="n"/>
      <c r="L52" s="36" t="n"/>
      <c r="M52" s="36" t="n"/>
      <c r="N52" s="36" t="n"/>
      <c r="O52" s="38">
        <f>IF(AND(K52&gt;=2115,K52&lt;=2335,L52&gt;=215),"Y",IF(K52="","","N"))</f>
        <v/>
      </c>
      <c r="P52" s="39" t="n"/>
    </row>
    <row r="53" ht="22" customHeight="1">
      <c r="A53" s="34" t="n">
        <v>46182</v>
      </c>
      <c r="B53" s="35" t="n">
        <v>51</v>
      </c>
      <c r="C53" s="36" t="n"/>
      <c r="D53" s="36" t="n"/>
      <c r="E53" s="36" t="n"/>
      <c r="F53" s="36" t="n"/>
      <c r="G53" s="36" t="n"/>
      <c r="H53" s="37" t="n"/>
      <c r="I53" s="38" t="n"/>
      <c r="J53" s="36" t="n"/>
      <c r="K53" s="36" t="n"/>
      <c r="L53" s="36" t="n"/>
      <c r="M53" s="36" t="n"/>
      <c r="N53" s="36" t="n"/>
      <c r="O53" s="38">
        <f>IF(AND(K53&gt;=2115,K53&lt;=2335,L53&gt;=215),"Y",IF(K53="","","N"))</f>
        <v/>
      </c>
      <c r="P53" s="39" t="n"/>
    </row>
    <row r="54" ht="22" customHeight="1">
      <c r="A54" s="34" t="n">
        <v>46183</v>
      </c>
      <c r="B54" s="35" t="n">
        <v>52</v>
      </c>
      <c r="C54" s="36" t="n"/>
      <c r="D54" s="36" t="n"/>
      <c r="E54" s="36" t="n"/>
      <c r="F54" s="36" t="n"/>
      <c r="G54" s="36" t="n"/>
      <c r="H54" s="37" t="inlineStr">
        <is>
          <t>Y</t>
        </is>
      </c>
      <c r="I54" s="38" t="inlineStr">
        <is>
          <t>Pull</t>
        </is>
      </c>
      <c r="J54" s="36" t="n"/>
      <c r="K54" s="36" t="n"/>
      <c r="L54" s="36" t="n"/>
      <c r="M54" s="36" t="n"/>
      <c r="N54" s="36" t="n"/>
      <c r="O54" s="38">
        <f>IF(AND(K54&gt;=2115,K54&lt;=2335,L54&gt;=215),"Y",IF(K54="","","N"))</f>
        <v/>
      </c>
      <c r="P54" s="39" t="n"/>
    </row>
    <row r="55" ht="22" customHeight="1">
      <c r="A55" s="34" t="n">
        <v>46184</v>
      </c>
      <c r="B55" s="35" t="n">
        <v>53</v>
      </c>
      <c r="C55" s="36" t="n"/>
      <c r="D55" s="36" t="n"/>
      <c r="E55" s="36" t="n"/>
      <c r="F55" s="36" t="n"/>
      <c r="G55" s="36" t="n"/>
      <c r="H55" s="37" t="n"/>
      <c r="I55" s="38" t="n"/>
      <c r="J55" s="36" t="n"/>
      <c r="K55" s="36" t="n"/>
      <c r="L55" s="36" t="n"/>
      <c r="M55" s="36" t="n"/>
      <c r="N55" s="36" t="n"/>
      <c r="O55" s="38">
        <f>IF(AND(K55&gt;=2115,K55&lt;=2335,L55&gt;=215),"Y",IF(K55="","","N"))</f>
        <v/>
      </c>
      <c r="P55" s="39" t="n"/>
    </row>
    <row r="56" ht="22" customHeight="1">
      <c r="A56" s="34" t="n">
        <v>46185</v>
      </c>
      <c r="B56" s="35" t="n">
        <v>54</v>
      </c>
      <c r="C56" s="36" t="n"/>
      <c r="D56" s="36" t="n"/>
      <c r="E56" s="36" t="n"/>
      <c r="F56" s="36" t="n"/>
      <c r="G56" s="36" t="n"/>
      <c r="H56" s="37" t="inlineStr">
        <is>
          <t>Y</t>
        </is>
      </c>
      <c r="I56" s="38" t="inlineStr">
        <is>
          <t>Legs</t>
        </is>
      </c>
      <c r="J56" s="36" t="n"/>
      <c r="K56" s="36" t="n"/>
      <c r="L56" s="36" t="n"/>
      <c r="M56" s="36" t="n"/>
      <c r="N56" s="36" t="n"/>
      <c r="O56" s="38">
        <f>IF(AND(K56&gt;=2115,K56&lt;=2335,L56&gt;=215),"Y",IF(K56="","","N"))</f>
        <v/>
      </c>
      <c r="P56" s="39" t="n"/>
    </row>
    <row r="57" ht="22" customHeight="1">
      <c r="A57" s="34" t="n">
        <v>46186</v>
      </c>
      <c r="B57" s="35" t="n">
        <v>55</v>
      </c>
      <c r="C57" s="36" t="n"/>
      <c r="D57" s="36" t="n"/>
      <c r="E57" s="36" t="n"/>
      <c r="F57" s="36" t="n"/>
      <c r="G57" s="36" t="n"/>
      <c r="H57" s="37" t="n"/>
      <c r="I57" s="38" t="n"/>
      <c r="J57" s="36" t="n"/>
      <c r="K57" s="36" t="n"/>
      <c r="L57" s="36" t="n"/>
      <c r="M57" s="36" t="n"/>
      <c r="N57" s="36" t="n"/>
      <c r="O57" s="38">
        <f>IF(AND(K57&gt;=2115,K57&lt;=2335,L57&gt;=215),"Y",IF(K57="","","N"))</f>
        <v/>
      </c>
      <c r="P57" s="39" t="n"/>
    </row>
    <row r="58" ht="22" customHeight="1">
      <c r="A58" s="34" t="n">
        <v>46187</v>
      </c>
      <c r="B58" s="35" t="n">
        <v>56</v>
      </c>
      <c r="C58" s="36" t="n"/>
      <c r="D58" s="36" t="n"/>
      <c r="E58" s="36" t="n"/>
      <c r="F58" s="36" t="n"/>
      <c r="G58" s="36" t="n"/>
      <c r="H58" s="37" t="n"/>
      <c r="I58" s="38" t="n"/>
      <c r="J58" s="36" t="n"/>
      <c r="K58" s="36" t="n"/>
      <c r="L58" s="36" t="n"/>
      <c r="M58" s="36" t="n"/>
      <c r="N58" s="36" t="n"/>
      <c r="O58" s="38">
        <f>IF(AND(K58&gt;=2115,K58&lt;=2335,L58&gt;=215),"Y",IF(K58="","","N"))</f>
        <v/>
      </c>
      <c r="P58" s="39" t="n"/>
    </row>
    <row r="59" ht="22" customHeight="1">
      <c r="A59" s="29" t="n">
        <v>46188</v>
      </c>
      <c r="B59" s="30" t="n">
        <v>57</v>
      </c>
      <c r="C59" s="31" t="n"/>
      <c r="D59" s="31" t="n"/>
      <c r="E59" s="31" t="n"/>
      <c r="F59" s="31" t="n"/>
      <c r="G59" s="31" t="n"/>
      <c r="H59" s="32" t="inlineStr">
        <is>
          <t>Y</t>
        </is>
      </c>
      <c r="I59" s="33" t="inlineStr">
        <is>
          <t>Push</t>
        </is>
      </c>
      <c r="J59" s="31" t="n"/>
      <c r="K59" s="31" t="n"/>
      <c r="L59" s="31" t="n"/>
      <c r="M59" s="31" t="n"/>
      <c r="N59" s="31" t="n"/>
      <c r="O59" s="33">
        <f>IF(AND(K59&gt;=2115,K59&lt;=2335,L59&gt;=215),"Y",IF(K59="","","N"))</f>
        <v/>
      </c>
      <c r="P59" s="25" t="n"/>
    </row>
    <row r="60" ht="22" customHeight="1">
      <c r="A60" s="29" t="n">
        <v>46189</v>
      </c>
      <c r="B60" s="30" t="n">
        <v>58</v>
      </c>
      <c r="C60" s="31" t="n"/>
      <c r="D60" s="31" t="n"/>
      <c r="E60" s="31" t="n"/>
      <c r="F60" s="31" t="n"/>
      <c r="G60" s="31" t="n"/>
      <c r="H60" s="32" t="n"/>
      <c r="I60" s="33" t="n"/>
      <c r="J60" s="31" t="n"/>
      <c r="K60" s="31" t="n"/>
      <c r="L60" s="31" t="n"/>
      <c r="M60" s="31" t="n"/>
      <c r="N60" s="31" t="n"/>
      <c r="O60" s="33">
        <f>IF(AND(K60&gt;=2115,K60&lt;=2335,L60&gt;=215),"Y",IF(K60="","","N"))</f>
        <v/>
      </c>
      <c r="P60" s="25" t="n"/>
    </row>
    <row r="61" ht="22" customHeight="1">
      <c r="A61" s="29" t="n">
        <v>46190</v>
      </c>
      <c r="B61" s="30" t="n">
        <v>59</v>
      </c>
      <c r="C61" s="31" t="n"/>
      <c r="D61" s="31" t="n"/>
      <c r="E61" s="31" t="n"/>
      <c r="F61" s="31" t="n"/>
      <c r="G61" s="31" t="n"/>
      <c r="H61" s="32" t="inlineStr">
        <is>
          <t>Y</t>
        </is>
      </c>
      <c r="I61" s="33" t="inlineStr">
        <is>
          <t>Pull</t>
        </is>
      </c>
      <c r="J61" s="31" t="n"/>
      <c r="K61" s="31" t="n"/>
      <c r="L61" s="31" t="n"/>
      <c r="M61" s="31" t="n"/>
      <c r="N61" s="31" t="n"/>
      <c r="O61" s="33">
        <f>IF(AND(K61&gt;=2115,K61&lt;=2335,L61&gt;=215),"Y",IF(K61="","","N"))</f>
        <v/>
      </c>
      <c r="P61" s="25" t="n"/>
    </row>
    <row r="62" ht="22" customHeight="1">
      <c r="A62" s="29" t="n">
        <v>46191</v>
      </c>
      <c r="B62" s="30" t="n">
        <v>60</v>
      </c>
      <c r="C62" s="31" t="n"/>
      <c r="D62" s="31" t="n"/>
      <c r="E62" s="31" t="n"/>
      <c r="F62" s="31" t="n"/>
      <c r="G62" s="31" t="n"/>
      <c r="H62" s="32" t="n"/>
      <c r="I62" s="33" t="n"/>
      <c r="J62" s="31" t="n"/>
      <c r="K62" s="31" t="n"/>
      <c r="L62" s="31" t="n"/>
      <c r="M62" s="31" t="n"/>
      <c r="N62" s="31" t="n"/>
      <c r="O62" s="33">
        <f>IF(AND(K62&gt;=2115,K62&lt;=2335,L62&gt;=215),"Y",IF(K62="","","N"))</f>
        <v/>
      </c>
      <c r="P62" s="25" t="n"/>
    </row>
    <row r="63" ht="22" customHeight="1">
      <c r="A63" s="29" t="n">
        <v>46192</v>
      </c>
      <c r="B63" s="30" t="n">
        <v>61</v>
      </c>
      <c r="C63" s="31" t="n"/>
      <c r="D63" s="31" t="n"/>
      <c r="E63" s="31" t="n"/>
      <c r="F63" s="31" t="n"/>
      <c r="G63" s="31" t="n"/>
      <c r="H63" s="32" t="inlineStr">
        <is>
          <t>Y</t>
        </is>
      </c>
      <c r="I63" s="33" t="inlineStr">
        <is>
          <t>Legs</t>
        </is>
      </c>
      <c r="J63" s="31" t="n"/>
      <c r="K63" s="31" t="n"/>
      <c r="L63" s="31" t="n"/>
      <c r="M63" s="31" t="n"/>
      <c r="N63" s="31" t="n"/>
      <c r="O63" s="33">
        <f>IF(AND(K63&gt;=2115,K63&lt;=2335,L63&gt;=215),"Y",IF(K63="","","N"))</f>
        <v/>
      </c>
      <c r="P63" s="25" t="n"/>
    </row>
    <row r="64" ht="22" customHeight="1">
      <c r="A64" s="29" t="n">
        <v>46193</v>
      </c>
      <c r="B64" s="30" t="n">
        <v>62</v>
      </c>
      <c r="C64" s="31" t="n"/>
      <c r="D64" s="31" t="n"/>
      <c r="E64" s="31" t="n"/>
      <c r="F64" s="31" t="n"/>
      <c r="G64" s="31" t="n"/>
      <c r="H64" s="32" t="n"/>
      <c r="I64" s="33" t="n"/>
      <c r="J64" s="31" t="n"/>
      <c r="K64" s="31" t="n"/>
      <c r="L64" s="31" t="n"/>
      <c r="M64" s="31" t="n"/>
      <c r="N64" s="31" t="n"/>
      <c r="O64" s="33">
        <f>IF(AND(K64&gt;=2115,K64&lt;=2335,L64&gt;=215),"Y",IF(K64="","","N"))</f>
        <v/>
      </c>
      <c r="P64" s="25" t="n"/>
    </row>
    <row r="65" ht="22" customHeight="1">
      <c r="A65" s="29" t="n">
        <v>46194</v>
      </c>
      <c r="B65" s="30" t="n">
        <v>63</v>
      </c>
      <c r="C65" s="31" t="n"/>
      <c r="D65" s="31" t="n"/>
      <c r="E65" s="31" t="n"/>
      <c r="F65" s="31" t="n"/>
      <c r="G65" s="31" t="n"/>
      <c r="H65" s="32" t="n"/>
      <c r="I65" s="33" t="n"/>
      <c r="J65" s="31" t="n"/>
      <c r="K65" s="31" t="n"/>
      <c r="L65" s="31" t="n"/>
      <c r="M65" s="31" t="n"/>
      <c r="N65" s="31" t="n"/>
      <c r="O65" s="33">
        <f>IF(AND(K65&gt;=2115,K65&lt;=2335,L65&gt;=215),"Y",IF(K65="","","N"))</f>
        <v/>
      </c>
      <c r="P65" s="25" t="n"/>
    </row>
    <row r="66" ht="22" customHeight="1">
      <c r="A66" s="34" t="n">
        <v>46195</v>
      </c>
      <c r="B66" s="35" t="n">
        <v>64</v>
      </c>
      <c r="C66" s="36" t="n"/>
      <c r="D66" s="36" t="n"/>
      <c r="E66" s="36" t="n"/>
      <c r="F66" s="36" t="n"/>
      <c r="G66" s="36" t="n"/>
      <c r="H66" s="37" t="inlineStr">
        <is>
          <t>Y</t>
        </is>
      </c>
      <c r="I66" s="38" t="inlineStr">
        <is>
          <t>Push</t>
        </is>
      </c>
      <c r="J66" s="36" t="n"/>
      <c r="K66" s="36" t="n"/>
      <c r="L66" s="36" t="n"/>
      <c r="M66" s="36" t="n"/>
      <c r="N66" s="36" t="n"/>
      <c r="O66" s="38">
        <f>IF(AND(K66&gt;=2115,K66&lt;=2335,L66&gt;=215),"Y",IF(K66="","","N"))</f>
        <v/>
      </c>
      <c r="P66" s="39" t="n"/>
    </row>
    <row r="67" ht="22" customHeight="1">
      <c r="A67" s="34" t="n">
        <v>46196</v>
      </c>
      <c r="B67" s="35" t="n">
        <v>65</v>
      </c>
      <c r="C67" s="36" t="n"/>
      <c r="D67" s="36" t="n"/>
      <c r="E67" s="36" t="n"/>
      <c r="F67" s="36" t="n"/>
      <c r="G67" s="36" t="n"/>
      <c r="H67" s="37" t="n"/>
      <c r="I67" s="38" t="n"/>
      <c r="J67" s="36" t="n"/>
      <c r="K67" s="36" t="n"/>
      <c r="L67" s="36" t="n"/>
      <c r="M67" s="36" t="n"/>
      <c r="N67" s="36" t="n"/>
      <c r="O67" s="38">
        <f>IF(AND(K67&gt;=2115,K67&lt;=2335,L67&gt;=215),"Y",IF(K67="","","N"))</f>
        <v/>
      </c>
      <c r="P67" s="39" t="n"/>
    </row>
    <row r="68" ht="22" customHeight="1">
      <c r="A68" s="34" t="n">
        <v>46197</v>
      </c>
      <c r="B68" s="35" t="n">
        <v>66</v>
      </c>
      <c r="C68" s="36" t="n"/>
      <c r="D68" s="36" t="n"/>
      <c r="E68" s="36" t="n"/>
      <c r="F68" s="36" t="n"/>
      <c r="G68" s="36" t="n"/>
      <c r="H68" s="37" t="inlineStr">
        <is>
          <t>Y</t>
        </is>
      </c>
      <c r="I68" s="38" t="inlineStr">
        <is>
          <t>Pull</t>
        </is>
      </c>
      <c r="J68" s="36" t="n"/>
      <c r="K68" s="36" t="n"/>
      <c r="L68" s="36" t="n"/>
      <c r="M68" s="36" t="n"/>
      <c r="N68" s="36" t="n"/>
      <c r="O68" s="38">
        <f>IF(AND(K68&gt;=2115,K68&lt;=2335,L68&gt;=215),"Y",IF(K68="","","N"))</f>
        <v/>
      </c>
      <c r="P68" s="39" t="n"/>
    </row>
    <row r="69" ht="22" customHeight="1">
      <c r="A69" s="34" t="n">
        <v>46198</v>
      </c>
      <c r="B69" s="35" t="n">
        <v>67</v>
      </c>
      <c r="C69" s="36" t="n"/>
      <c r="D69" s="36" t="n"/>
      <c r="E69" s="36" t="n"/>
      <c r="F69" s="36" t="n"/>
      <c r="G69" s="36" t="n"/>
      <c r="H69" s="37" t="n"/>
      <c r="I69" s="38" t="n"/>
      <c r="J69" s="36" t="n"/>
      <c r="K69" s="36" t="n"/>
      <c r="L69" s="36" t="n"/>
      <c r="M69" s="36" t="n"/>
      <c r="N69" s="36" t="n"/>
      <c r="O69" s="38">
        <f>IF(AND(K69&gt;=2115,K69&lt;=2335,L69&gt;=215),"Y",IF(K69="","","N"))</f>
        <v/>
      </c>
      <c r="P69" s="39" t="n"/>
    </row>
    <row r="70" ht="22" customHeight="1">
      <c r="A70" s="34" t="n">
        <v>46199</v>
      </c>
      <c r="B70" s="35" t="n">
        <v>68</v>
      </c>
      <c r="C70" s="36" t="n"/>
      <c r="D70" s="36" t="n"/>
      <c r="E70" s="36" t="n"/>
      <c r="F70" s="36" t="n"/>
      <c r="G70" s="36" t="n"/>
      <c r="H70" s="37" t="inlineStr">
        <is>
          <t>Y</t>
        </is>
      </c>
      <c r="I70" s="38" t="inlineStr">
        <is>
          <t>Legs</t>
        </is>
      </c>
      <c r="J70" s="36" t="n"/>
      <c r="K70" s="36" t="n"/>
      <c r="L70" s="36" t="n"/>
      <c r="M70" s="36" t="n"/>
      <c r="N70" s="36" t="n"/>
      <c r="O70" s="38">
        <f>IF(AND(K70&gt;=2115,K70&lt;=2335,L70&gt;=215),"Y",IF(K70="","","N"))</f>
        <v/>
      </c>
      <c r="P70" s="39" t="n"/>
    </row>
    <row r="71" ht="22" customHeight="1">
      <c r="A71" s="34" t="n">
        <v>46200</v>
      </c>
      <c r="B71" s="35" t="n">
        <v>69</v>
      </c>
      <c r="C71" s="36" t="n"/>
      <c r="D71" s="36" t="n"/>
      <c r="E71" s="36" t="n"/>
      <c r="F71" s="36" t="n"/>
      <c r="G71" s="36" t="n"/>
      <c r="H71" s="37" t="n"/>
      <c r="I71" s="38" t="n"/>
      <c r="J71" s="36" t="n"/>
      <c r="K71" s="36" t="n"/>
      <c r="L71" s="36" t="n"/>
      <c r="M71" s="36" t="n"/>
      <c r="N71" s="36" t="n"/>
      <c r="O71" s="38">
        <f>IF(AND(K71&gt;=2115,K71&lt;=2335,L71&gt;=215),"Y",IF(K71="","","N"))</f>
        <v/>
      </c>
      <c r="P71" s="39" t="n"/>
    </row>
    <row r="72" ht="22" customHeight="1">
      <c r="A72" s="34" t="n">
        <v>46201</v>
      </c>
      <c r="B72" s="35" t="n">
        <v>70</v>
      </c>
      <c r="C72" s="36" t="n"/>
      <c r="D72" s="36" t="n"/>
      <c r="E72" s="36" t="n"/>
      <c r="F72" s="36" t="n"/>
      <c r="G72" s="36" t="n"/>
      <c r="H72" s="37" t="n"/>
      <c r="I72" s="38" t="n"/>
      <c r="J72" s="36" t="n"/>
      <c r="K72" s="36" t="n"/>
      <c r="L72" s="36" t="n"/>
      <c r="M72" s="36" t="n"/>
      <c r="N72" s="36" t="n"/>
      <c r="O72" s="38">
        <f>IF(AND(K72&gt;=2115,K72&lt;=2335,L72&gt;=215),"Y",IF(K72="","","N"))</f>
        <v/>
      </c>
      <c r="P72" s="39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</sheetData>
  <mergeCells count="1">
    <mergeCell ref="A1:P1"/>
  </mergeCells>
  <conditionalFormatting sqref="O3:O72">
    <cfRule type="containsText" priority="1" operator="containsText" dxfId="0" text="Y">
      <formula>NOT(ISERROR(SEARCH("Y",O3)))</formula>
    </cfRule>
    <cfRule type="containsText" priority="2" operator="containsText" dxfId="1" text="N">
      <formula>NOT(ISERROR(SEARCH("N",O3)))</formula>
    </cfRule>
  </conditionalFormatting>
  <conditionalFormatting sqref="E3:E72">
    <cfRule type="containsText" priority="3" operator="containsText" dxfId="0" text="Y">
      <formula>NOT(ISERROR(SEARCH("Y",E3)))</formula>
    </cfRule>
  </conditionalFormatting>
  <conditionalFormatting sqref="F3:G72">
    <cfRule type="colorScale" priority="4">
      <colorScale>
        <cfvo type="num" val="1"/>
        <cfvo type="num" val="3"/>
        <cfvo type="num" val="5"/>
        <color rgb="00FF5247"/>
        <color rgb="00E8D74D"/>
        <color rgb="00C6FF3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FF3C"/>
    <outlinePr summaryBelow="1" summaryRight="1"/>
    <pageSetUpPr/>
  </sheetPr>
  <dimension ref="A1:I1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0" customWidth="1" min="2" max="2"/>
    <col width="13" customWidth="1" min="3" max="3"/>
    <col width="24" customWidth="1" min="4" max="4"/>
    <col width="18" customWidth="1" min="5" max="5"/>
    <col width="18" customWidth="1" min="6" max="6"/>
    <col width="18" customWidth="1" min="7" max="7"/>
    <col width="14" customWidth="1" min="8" max="8"/>
    <col width="40" customWidth="1" min="9" max="9"/>
  </cols>
  <sheetData>
    <row r="1" ht="36" customHeight="1">
      <c r="A1" s="27" t="inlineStr">
        <is>
          <t>TRAINING LOG  ·  CYCLE 1  ·  MAIN LIFTS</t>
        </is>
      </c>
    </row>
    <row r="2" ht="28" customHeight="1">
      <c r="A2" s="28" t="inlineStr">
        <is>
          <t>WK</t>
        </is>
      </c>
      <c r="B2" s="28" t="inlineStr">
        <is>
          <t>SESSION</t>
        </is>
      </c>
      <c r="C2" s="28" t="inlineStr">
        <is>
          <t>DATE</t>
        </is>
      </c>
      <c r="D2" s="28" t="inlineStr">
        <is>
          <t>LIFT</t>
        </is>
      </c>
      <c r="E2" s="28" t="inlineStr">
        <is>
          <t>SET 1 (wt × reps)</t>
        </is>
      </c>
      <c r="F2" s="28" t="inlineStr">
        <is>
          <t>SET 2</t>
        </is>
      </c>
      <c r="G2" s="28" t="inlineStr">
        <is>
          <t>SET 3</t>
        </is>
      </c>
      <c r="H2" s="28" t="inlineStr">
        <is>
          <t>AMRAP REPS</t>
        </is>
      </c>
      <c r="I2" s="28" t="inlineStr">
        <is>
          <t>NOTES</t>
        </is>
      </c>
    </row>
    <row r="3" ht="22" customHeight="1">
      <c r="A3" s="40" t="inlineStr">
        <is>
          <t>WEEK 01  ·  3×5, 1×5+ @ 65/70/75/75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</row>
    <row r="4" ht="22" customHeight="1">
      <c r="A4" s="30" t="n">
        <v>1</v>
      </c>
      <c r="B4" s="32" t="inlineStr">
        <is>
          <t>Push</t>
        </is>
      </c>
      <c r="C4" s="41" t="n">
        <v>46132</v>
      </c>
      <c r="D4" s="42" t="inlineStr">
        <is>
          <t>Incline BB Bench</t>
        </is>
      </c>
      <c r="E4" s="31" t="n"/>
      <c r="F4" s="31" t="n"/>
      <c r="G4" s="31" t="n"/>
      <c r="H4" s="31" t="n"/>
      <c r="I4" s="31" t="n"/>
    </row>
    <row r="5" ht="22" customHeight="1">
      <c r="A5" s="30" t="n">
        <v>1</v>
      </c>
      <c r="B5" s="32" t="inlineStr">
        <is>
          <t>Push</t>
        </is>
      </c>
      <c r="C5" s="41" t="n">
        <v>46132</v>
      </c>
      <c r="D5" s="42" t="inlineStr">
        <is>
          <t>Military Press</t>
        </is>
      </c>
      <c r="E5" s="31" t="n"/>
      <c r="F5" s="31" t="n"/>
      <c r="G5" s="31" t="n"/>
      <c r="H5" s="31" t="n"/>
      <c r="I5" s="31" t="n"/>
    </row>
    <row r="6" ht="22" customHeight="1">
      <c r="A6" s="30" t="n">
        <v>1</v>
      </c>
      <c r="B6" s="32" t="inlineStr">
        <is>
          <t>Pull</t>
        </is>
      </c>
      <c r="C6" s="41" t="n">
        <v>46134</v>
      </c>
      <c r="D6" s="42" t="inlineStr">
        <is>
          <t>Barbell Rows</t>
        </is>
      </c>
      <c r="E6" s="31" t="n"/>
      <c r="F6" s="31" t="n"/>
      <c r="G6" s="31" t="n"/>
      <c r="H6" s="31" t="n"/>
      <c r="I6" s="31" t="n"/>
    </row>
    <row r="7" ht="22" customHeight="1">
      <c r="A7" s="30" t="n">
        <v>1</v>
      </c>
      <c r="B7" s="32" t="inlineStr">
        <is>
          <t>Pull</t>
        </is>
      </c>
      <c r="C7" s="41" t="n">
        <v>46134</v>
      </c>
      <c r="D7" s="42" t="inlineStr">
        <is>
          <t>Rack Pulls</t>
        </is>
      </c>
      <c r="E7" s="31" t="n"/>
      <c r="F7" s="31" t="n"/>
      <c r="G7" s="31" t="n"/>
      <c r="H7" s="31" t="n"/>
      <c r="I7" s="31" t="n"/>
    </row>
    <row r="8" ht="22" customHeight="1">
      <c r="A8" s="30" t="n">
        <v>1</v>
      </c>
      <c r="B8" s="32" t="inlineStr">
        <is>
          <t>Legs</t>
        </is>
      </c>
      <c r="C8" s="41" t="n">
        <v>46136</v>
      </c>
      <c r="D8" s="42" t="inlineStr">
        <is>
          <t>Back Squat</t>
        </is>
      </c>
      <c r="E8" s="31" t="n"/>
      <c r="F8" s="31" t="n"/>
      <c r="G8" s="31" t="n"/>
      <c r="H8" s="31" t="n"/>
      <c r="I8" s="31" t="n"/>
    </row>
    <row r="9" ht="22" customHeight="1">
      <c r="A9" s="30" t="n">
        <v>1</v>
      </c>
      <c r="B9" s="32" t="inlineStr">
        <is>
          <t>Legs</t>
        </is>
      </c>
      <c r="C9" s="41" t="n">
        <v>46136</v>
      </c>
      <c r="D9" s="42" t="inlineStr">
        <is>
          <t>Conv Deadlift</t>
        </is>
      </c>
      <c r="E9" s="31" t="n"/>
      <c r="F9" s="31" t="n"/>
      <c r="G9" s="31" t="n"/>
      <c r="H9" s="31" t="n"/>
      <c r="I9" s="3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 ht="22" customHeight="1">
      <c r="A11" s="40" t="inlineStr">
        <is>
          <t>WEEK 02  ·  3×5, 1×5+ @ 67/72/77/77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 ht="22" customHeight="1">
      <c r="A12" s="43" t="n">
        <v>2</v>
      </c>
      <c r="B12" s="44" t="inlineStr">
        <is>
          <t>Push</t>
        </is>
      </c>
      <c r="C12" s="45" t="n">
        <v>46139</v>
      </c>
      <c r="D12" s="46" t="inlineStr">
        <is>
          <t>Incline BB Bench</t>
        </is>
      </c>
      <c r="E12" s="47" t="n"/>
      <c r="F12" s="47" t="n"/>
      <c r="G12" s="47" t="n"/>
      <c r="H12" s="47" t="n"/>
      <c r="I12" s="47" t="n"/>
    </row>
    <row r="13" ht="22" customHeight="1">
      <c r="A13" s="43" t="n">
        <v>2</v>
      </c>
      <c r="B13" s="44" t="inlineStr">
        <is>
          <t>Push</t>
        </is>
      </c>
      <c r="C13" s="45" t="n">
        <v>46139</v>
      </c>
      <c r="D13" s="46" t="inlineStr">
        <is>
          <t>Military Press</t>
        </is>
      </c>
      <c r="E13" s="47" t="n"/>
      <c r="F13" s="47" t="n"/>
      <c r="G13" s="47" t="n"/>
      <c r="H13" s="47" t="n"/>
      <c r="I13" s="47" t="n"/>
    </row>
    <row r="14" ht="22" customHeight="1">
      <c r="A14" s="43" t="n">
        <v>2</v>
      </c>
      <c r="B14" s="44" t="inlineStr">
        <is>
          <t>Pull</t>
        </is>
      </c>
      <c r="C14" s="45" t="n">
        <v>46141</v>
      </c>
      <c r="D14" s="46" t="inlineStr">
        <is>
          <t>Barbell Rows</t>
        </is>
      </c>
      <c r="E14" s="47" t="n"/>
      <c r="F14" s="47" t="n"/>
      <c r="G14" s="47" t="n"/>
      <c r="H14" s="47" t="n"/>
      <c r="I14" s="47" t="n"/>
    </row>
    <row r="15" ht="22" customHeight="1">
      <c r="A15" s="43" t="n">
        <v>2</v>
      </c>
      <c r="B15" s="44" t="inlineStr">
        <is>
          <t>Pull</t>
        </is>
      </c>
      <c r="C15" s="45" t="n">
        <v>46141</v>
      </c>
      <c r="D15" s="46" t="inlineStr">
        <is>
          <t>Rack Pulls</t>
        </is>
      </c>
      <c r="E15" s="47" t="n"/>
      <c r="F15" s="47" t="n"/>
      <c r="G15" s="47" t="n"/>
      <c r="H15" s="47" t="n"/>
      <c r="I15" s="47" t="n"/>
    </row>
    <row r="16" ht="22" customHeight="1">
      <c r="A16" s="43" t="n">
        <v>2</v>
      </c>
      <c r="B16" s="44" t="inlineStr">
        <is>
          <t>Legs</t>
        </is>
      </c>
      <c r="C16" s="45" t="n">
        <v>46143</v>
      </c>
      <c r="D16" s="46" t="inlineStr">
        <is>
          <t>Back Squat</t>
        </is>
      </c>
      <c r="E16" s="47" t="n"/>
      <c r="F16" s="47" t="n"/>
      <c r="G16" s="47" t="n"/>
      <c r="H16" s="47" t="n"/>
      <c r="I16" s="47" t="n"/>
    </row>
    <row r="17" ht="22" customHeight="1">
      <c r="A17" s="43" t="n">
        <v>2</v>
      </c>
      <c r="B17" s="44" t="inlineStr">
        <is>
          <t>Legs</t>
        </is>
      </c>
      <c r="C17" s="45" t="n">
        <v>46143</v>
      </c>
      <c r="D17" s="46" t="inlineStr">
        <is>
          <t>Conv Deadlift</t>
        </is>
      </c>
      <c r="E17" s="47" t="n"/>
      <c r="F17" s="47" t="n"/>
      <c r="G17" s="47" t="n"/>
      <c r="H17" s="47" t="n"/>
      <c r="I17" s="47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 ht="22" customHeight="1">
      <c r="A19" s="40" t="inlineStr">
        <is>
          <t>WEEK 03  ·  3×3, 1×3+ @ 70/75/80/80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</row>
    <row r="20" ht="22" customHeight="1">
      <c r="A20" s="30" t="n">
        <v>3</v>
      </c>
      <c r="B20" s="32" t="inlineStr">
        <is>
          <t>Push</t>
        </is>
      </c>
      <c r="C20" s="41" t="n">
        <v>46146</v>
      </c>
      <c r="D20" s="42" t="inlineStr">
        <is>
          <t>Incline BB Bench</t>
        </is>
      </c>
      <c r="E20" s="31" t="n"/>
      <c r="F20" s="31" t="n"/>
      <c r="G20" s="31" t="n"/>
      <c r="H20" s="31" t="n"/>
      <c r="I20" s="31" t="n"/>
    </row>
    <row r="21" ht="22" customHeight="1">
      <c r="A21" s="30" t="n">
        <v>3</v>
      </c>
      <c r="B21" s="32" t="inlineStr">
        <is>
          <t>Push</t>
        </is>
      </c>
      <c r="C21" s="41" t="n">
        <v>46146</v>
      </c>
      <c r="D21" s="42" t="inlineStr">
        <is>
          <t>Military Press</t>
        </is>
      </c>
      <c r="E21" s="31" t="n"/>
      <c r="F21" s="31" t="n"/>
      <c r="G21" s="31" t="n"/>
      <c r="H21" s="31" t="n"/>
      <c r="I21" s="31" t="n"/>
    </row>
    <row r="22" ht="22" customHeight="1">
      <c r="A22" s="30" t="n">
        <v>3</v>
      </c>
      <c r="B22" s="32" t="inlineStr">
        <is>
          <t>Pull</t>
        </is>
      </c>
      <c r="C22" s="41" t="n">
        <v>46148</v>
      </c>
      <c r="D22" s="42" t="inlineStr">
        <is>
          <t>Barbell Rows</t>
        </is>
      </c>
      <c r="E22" s="31" t="n"/>
      <c r="F22" s="31" t="n"/>
      <c r="G22" s="31" t="n"/>
      <c r="H22" s="31" t="n"/>
      <c r="I22" s="31" t="n"/>
    </row>
    <row r="23" ht="22" customHeight="1">
      <c r="A23" s="30" t="n">
        <v>3</v>
      </c>
      <c r="B23" s="32" t="inlineStr">
        <is>
          <t>Pull</t>
        </is>
      </c>
      <c r="C23" s="41" t="n">
        <v>46148</v>
      </c>
      <c r="D23" s="42" t="inlineStr">
        <is>
          <t>Rack Pulls</t>
        </is>
      </c>
      <c r="E23" s="31" t="n"/>
      <c r="F23" s="31" t="n"/>
      <c r="G23" s="31" t="n"/>
      <c r="H23" s="31" t="n"/>
      <c r="I23" s="31" t="n"/>
    </row>
    <row r="24" ht="22" customHeight="1">
      <c r="A24" s="30" t="n">
        <v>3</v>
      </c>
      <c r="B24" s="32" t="inlineStr">
        <is>
          <t>Legs</t>
        </is>
      </c>
      <c r="C24" s="41" t="n">
        <v>46150</v>
      </c>
      <c r="D24" s="42" t="inlineStr">
        <is>
          <t>Back Squat</t>
        </is>
      </c>
      <c r="E24" s="31" t="n"/>
      <c r="F24" s="31" t="n"/>
      <c r="G24" s="31" t="n"/>
      <c r="H24" s="31" t="n"/>
      <c r="I24" s="31" t="n"/>
    </row>
    <row r="25" ht="22" customHeight="1">
      <c r="A25" s="30" t="n">
        <v>3</v>
      </c>
      <c r="B25" s="32" t="inlineStr">
        <is>
          <t>Legs</t>
        </is>
      </c>
      <c r="C25" s="41" t="n">
        <v>46150</v>
      </c>
      <c r="D25" s="42" t="inlineStr">
        <is>
          <t>Conv Deadlift</t>
        </is>
      </c>
      <c r="E25" s="31" t="n"/>
      <c r="F25" s="31" t="n"/>
      <c r="G25" s="31" t="n"/>
      <c r="H25" s="31" t="n"/>
      <c r="I25" s="3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22" customHeight="1">
      <c r="A27" s="40" t="inlineStr">
        <is>
          <t>WEEK 04  ·  3×3, 1×3+ @ 72/77/82/82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</row>
    <row r="28" ht="22" customHeight="1">
      <c r="A28" s="43" t="n">
        <v>4</v>
      </c>
      <c r="B28" s="44" t="inlineStr">
        <is>
          <t>Push</t>
        </is>
      </c>
      <c r="C28" s="45" t="n">
        <v>46153</v>
      </c>
      <c r="D28" s="46" t="inlineStr">
        <is>
          <t>Incline BB Bench</t>
        </is>
      </c>
      <c r="E28" s="47" t="n"/>
      <c r="F28" s="47" t="n"/>
      <c r="G28" s="47" t="n"/>
      <c r="H28" s="47" t="n"/>
      <c r="I28" s="47" t="n"/>
    </row>
    <row r="29" ht="22" customHeight="1">
      <c r="A29" s="43" t="n">
        <v>4</v>
      </c>
      <c r="B29" s="44" t="inlineStr">
        <is>
          <t>Push</t>
        </is>
      </c>
      <c r="C29" s="45" t="n">
        <v>46153</v>
      </c>
      <c r="D29" s="46" t="inlineStr">
        <is>
          <t>Military Press</t>
        </is>
      </c>
      <c r="E29" s="47" t="n"/>
      <c r="F29" s="47" t="n"/>
      <c r="G29" s="47" t="n"/>
      <c r="H29" s="47" t="n"/>
      <c r="I29" s="47" t="n"/>
    </row>
    <row r="30" ht="22" customHeight="1">
      <c r="A30" s="43" t="n">
        <v>4</v>
      </c>
      <c r="B30" s="44" t="inlineStr">
        <is>
          <t>Pull</t>
        </is>
      </c>
      <c r="C30" s="45" t="n">
        <v>46155</v>
      </c>
      <c r="D30" s="46" t="inlineStr">
        <is>
          <t>Barbell Rows</t>
        </is>
      </c>
      <c r="E30" s="47" t="n"/>
      <c r="F30" s="47" t="n"/>
      <c r="G30" s="47" t="n"/>
      <c r="H30" s="47" t="n"/>
      <c r="I30" s="47" t="n"/>
    </row>
    <row r="31" ht="22" customHeight="1">
      <c r="A31" s="43" t="n">
        <v>4</v>
      </c>
      <c r="B31" s="44" t="inlineStr">
        <is>
          <t>Pull</t>
        </is>
      </c>
      <c r="C31" s="45" t="n">
        <v>46155</v>
      </c>
      <c r="D31" s="46" t="inlineStr">
        <is>
          <t>Rack Pulls</t>
        </is>
      </c>
      <c r="E31" s="47" t="n"/>
      <c r="F31" s="47" t="n"/>
      <c r="G31" s="47" t="n"/>
      <c r="H31" s="47" t="n"/>
      <c r="I31" s="47" t="n"/>
    </row>
    <row r="32" ht="22" customHeight="1">
      <c r="A32" s="43" t="n">
        <v>4</v>
      </c>
      <c r="B32" s="44" t="inlineStr">
        <is>
          <t>Legs</t>
        </is>
      </c>
      <c r="C32" s="45" t="n">
        <v>46157</v>
      </c>
      <c r="D32" s="46" t="inlineStr">
        <is>
          <t>Back Squat</t>
        </is>
      </c>
      <c r="E32" s="47" t="n"/>
      <c r="F32" s="47" t="n"/>
      <c r="G32" s="47" t="n"/>
      <c r="H32" s="47" t="n"/>
      <c r="I32" s="47" t="n"/>
    </row>
    <row r="33" ht="22" customHeight="1">
      <c r="A33" s="43" t="n">
        <v>4</v>
      </c>
      <c r="B33" s="44" t="inlineStr">
        <is>
          <t>Legs</t>
        </is>
      </c>
      <c r="C33" s="45" t="n">
        <v>46157</v>
      </c>
      <c r="D33" s="46" t="inlineStr">
        <is>
          <t>Conv Deadlift</t>
        </is>
      </c>
      <c r="E33" s="47" t="n"/>
      <c r="F33" s="47" t="n"/>
      <c r="G33" s="47" t="n"/>
      <c r="H33" s="47" t="n"/>
      <c r="I33" s="47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 ht="22" customHeight="1">
      <c r="A35" s="48" t="inlineStr">
        <is>
          <t>WEEK 05  ·  DELOAD 3×5 @ 40/50/60</t>
        </is>
      </c>
      <c r="B35" s="16" t="n"/>
      <c r="C35" s="16" t="n"/>
      <c r="D35" s="16" t="n"/>
      <c r="E35" s="16" t="n"/>
      <c r="F35" s="16" t="n"/>
      <c r="G35" s="16" t="n"/>
      <c r="H35" s="16" t="n"/>
      <c r="I35" s="16" t="n"/>
    </row>
    <row r="36" ht="22" customHeight="1">
      <c r="A36" s="30" t="n">
        <v>5</v>
      </c>
      <c r="B36" s="32" t="inlineStr">
        <is>
          <t>Push</t>
        </is>
      </c>
      <c r="C36" s="41" t="n">
        <v>46160</v>
      </c>
      <c r="D36" s="42" t="inlineStr">
        <is>
          <t>Incline BB Bench</t>
        </is>
      </c>
      <c r="E36" s="31" t="n"/>
      <c r="F36" s="31" t="n"/>
      <c r="G36" s="31" t="n"/>
      <c r="H36" s="31" t="n"/>
      <c r="I36" s="31" t="n"/>
    </row>
    <row r="37" ht="22" customHeight="1">
      <c r="A37" s="30" t="n">
        <v>5</v>
      </c>
      <c r="B37" s="32" t="inlineStr">
        <is>
          <t>Push</t>
        </is>
      </c>
      <c r="C37" s="41" t="n">
        <v>46160</v>
      </c>
      <c r="D37" s="42" t="inlineStr">
        <is>
          <t>Military Press</t>
        </is>
      </c>
      <c r="E37" s="31" t="n"/>
      <c r="F37" s="31" t="n"/>
      <c r="G37" s="31" t="n"/>
      <c r="H37" s="31" t="n"/>
      <c r="I37" s="31" t="n"/>
    </row>
    <row r="38" ht="22" customHeight="1">
      <c r="A38" s="30" t="n">
        <v>5</v>
      </c>
      <c r="B38" s="32" t="inlineStr">
        <is>
          <t>Pull</t>
        </is>
      </c>
      <c r="C38" s="41" t="n">
        <v>46162</v>
      </c>
      <c r="D38" s="42" t="inlineStr">
        <is>
          <t>Barbell Rows</t>
        </is>
      </c>
      <c r="E38" s="31" t="n"/>
      <c r="F38" s="31" t="n"/>
      <c r="G38" s="31" t="n"/>
      <c r="H38" s="31" t="n"/>
      <c r="I38" s="31" t="n"/>
    </row>
    <row r="39" ht="22" customHeight="1">
      <c r="A39" s="30" t="n">
        <v>5</v>
      </c>
      <c r="B39" s="32" t="inlineStr">
        <is>
          <t>Pull</t>
        </is>
      </c>
      <c r="C39" s="41" t="n">
        <v>46162</v>
      </c>
      <c r="D39" s="42" t="inlineStr">
        <is>
          <t>Rack Pulls</t>
        </is>
      </c>
      <c r="E39" s="31" t="n"/>
      <c r="F39" s="31" t="n"/>
      <c r="G39" s="31" t="n"/>
      <c r="H39" s="31" t="n"/>
      <c r="I39" s="31" t="n"/>
    </row>
    <row r="40" ht="22" customHeight="1">
      <c r="A40" s="30" t="n">
        <v>5</v>
      </c>
      <c r="B40" s="32" t="inlineStr">
        <is>
          <t>Legs</t>
        </is>
      </c>
      <c r="C40" s="41" t="n">
        <v>46164</v>
      </c>
      <c r="D40" s="42" t="inlineStr">
        <is>
          <t>Back Squat</t>
        </is>
      </c>
      <c r="E40" s="31" t="n"/>
      <c r="F40" s="31" t="n"/>
      <c r="G40" s="31" t="n"/>
      <c r="H40" s="31" t="n"/>
      <c r="I40" s="31" t="n"/>
    </row>
    <row r="41" ht="22" customHeight="1">
      <c r="A41" s="30" t="n">
        <v>5</v>
      </c>
      <c r="B41" s="32" t="inlineStr">
        <is>
          <t>Legs</t>
        </is>
      </c>
      <c r="C41" s="41" t="n">
        <v>46164</v>
      </c>
      <c r="D41" s="42" t="inlineStr">
        <is>
          <t>Conv Deadlift</t>
        </is>
      </c>
      <c r="E41" s="31" t="n"/>
      <c r="F41" s="31" t="n"/>
      <c r="G41" s="31" t="n"/>
      <c r="H41" s="31" t="n"/>
      <c r="I41" s="3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 ht="22" customHeight="1">
      <c r="A43" s="40" t="inlineStr">
        <is>
          <t>WEEK 06  ·  3×3, 1×3 PAUSED @ 75/80/85/85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</row>
    <row r="44" ht="22" customHeight="1">
      <c r="A44" s="43" t="n">
        <v>6</v>
      </c>
      <c r="B44" s="44" t="inlineStr">
        <is>
          <t>Push</t>
        </is>
      </c>
      <c r="C44" s="45" t="n">
        <v>46167</v>
      </c>
      <c r="D44" s="46" t="inlineStr">
        <is>
          <t>Incline BB Bench</t>
        </is>
      </c>
      <c r="E44" s="47" t="n"/>
      <c r="F44" s="47" t="n"/>
      <c r="G44" s="47" t="n"/>
      <c r="H44" s="47" t="n"/>
      <c r="I44" s="47" t="n"/>
    </row>
    <row r="45" ht="22" customHeight="1">
      <c r="A45" s="43" t="n">
        <v>6</v>
      </c>
      <c r="B45" s="44" t="inlineStr">
        <is>
          <t>Push</t>
        </is>
      </c>
      <c r="C45" s="45" t="n">
        <v>46167</v>
      </c>
      <c r="D45" s="46" t="inlineStr">
        <is>
          <t>Military Press</t>
        </is>
      </c>
      <c r="E45" s="47" t="n"/>
      <c r="F45" s="47" t="n"/>
      <c r="G45" s="47" t="n"/>
      <c r="H45" s="47" t="n"/>
      <c r="I45" s="47" t="n"/>
    </row>
    <row r="46" ht="22" customHeight="1">
      <c r="A46" s="43" t="n">
        <v>6</v>
      </c>
      <c r="B46" s="44" t="inlineStr">
        <is>
          <t>Pull</t>
        </is>
      </c>
      <c r="C46" s="45" t="n">
        <v>46169</v>
      </c>
      <c r="D46" s="46" t="inlineStr">
        <is>
          <t>Barbell Rows</t>
        </is>
      </c>
      <c r="E46" s="47" t="n"/>
      <c r="F46" s="47" t="n"/>
      <c r="G46" s="47" t="n"/>
      <c r="H46" s="47" t="n"/>
      <c r="I46" s="47" t="n"/>
    </row>
    <row r="47" ht="22" customHeight="1">
      <c r="A47" s="43" t="n">
        <v>6</v>
      </c>
      <c r="B47" s="44" t="inlineStr">
        <is>
          <t>Pull</t>
        </is>
      </c>
      <c r="C47" s="45" t="n">
        <v>46169</v>
      </c>
      <c r="D47" s="46" t="inlineStr">
        <is>
          <t>Rack Pulls</t>
        </is>
      </c>
      <c r="E47" s="47" t="n"/>
      <c r="F47" s="47" t="n"/>
      <c r="G47" s="47" t="n"/>
      <c r="H47" s="47" t="n"/>
      <c r="I47" s="47" t="n"/>
    </row>
    <row r="48" ht="22" customHeight="1">
      <c r="A48" s="43" t="n">
        <v>6</v>
      </c>
      <c r="B48" s="44" t="inlineStr">
        <is>
          <t>Legs</t>
        </is>
      </c>
      <c r="C48" s="45" t="n">
        <v>46171</v>
      </c>
      <c r="D48" s="46" t="inlineStr">
        <is>
          <t>Back Squat</t>
        </is>
      </c>
      <c r="E48" s="47" t="n"/>
      <c r="F48" s="47" t="n"/>
      <c r="G48" s="47" t="n"/>
      <c r="H48" s="47" t="n"/>
      <c r="I48" s="47" t="n"/>
    </row>
    <row r="49" ht="22" customHeight="1">
      <c r="A49" s="43" t="n">
        <v>6</v>
      </c>
      <c r="B49" s="44" t="inlineStr">
        <is>
          <t>Legs</t>
        </is>
      </c>
      <c r="C49" s="45" t="n">
        <v>46171</v>
      </c>
      <c r="D49" s="46" t="inlineStr">
        <is>
          <t>Conv Deadlift</t>
        </is>
      </c>
      <c r="E49" s="47" t="n"/>
      <c r="F49" s="47" t="n"/>
      <c r="G49" s="47" t="n"/>
      <c r="H49" s="47" t="n"/>
      <c r="I49" s="47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 ht="22" customHeight="1">
      <c r="A51" s="40" t="inlineStr">
        <is>
          <t>WEEK 07  ·  3×3, 1×3 PAUSED @ 77/82/87/87</t>
        </is>
      </c>
      <c r="B51" s="16" t="n"/>
      <c r="C51" s="16" t="n"/>
      <c r="D51" s="16" t="n"/>
      <c r="E51" s="16" t="n"/>
      <c r="F51" s="16" t="n"/>
      <c r="G51" s="16" t="n"/>
      <c r="H51" s="16" t="n"/>
      <c r="I51" s="16" t="n"/>
    </row>
    <row r="52" ht="22" customHeight="1">
      <c r="A52" s="30" t="n">
        <v>7</v>
      </c>
      <c r="B52" s="32" t="inlineStr">
        <is>
          <t>Push</t>
        </is>
      </c>
      <c r="C52" s="41" t="n">
        <v>46174</v>
      </c>
      <c r="D52" s="42" t="inlineStr">
        <is>
          <t>Incline BB Bench</t>
        </is>
      </c>
      <c r="E52" s="31" t="n"/>
      <c r="F52" s="31" t="n"/>
      <c r="G52" s="31" t="n"/>
      <c r="H52" s="31" t="n"/>
      <c r="I52" s="31" t="n"/>
    </row>
    <row r="53" ht="22" customHeight="1">
      <c r="A53" s="30" t="n">
        <v>7</v>
      </c>
      <c r="B53" s="32" t="inlineStr">
        <is>
          <t>Push</t>
        </is>
      </c>
      <c r="C53" s="41" t="n">
        <v>46174</v>
      </c>
      <c r="D53" s="42" t="inlineStr">
        <is>
          <t>Military Press</t>
        </is>
      </c>
      <c r="E53" s="31" t="n"/>
      <c r="F53" s="31" t="n"/>
      <c r="G53" s="31" t="n"/>
      <c r="H53" s="31" t="n"/>
      <c r="I53" s="31" t="n"/>
    </row>
    <row r="54" ht="22" customHeight="1">
      <c r="A54" s="30" t="n">
        <v>7</v>
      </c>
      <c r="B54" s="32" t="inlineStr">
        <is>
          <t>Pull</t>
        </is>
      </c>
      <c r="C54" s="41" t="n">
        <v>46176</v>
      </c>
      <c r="D54" s="42" t="inlineStr">
        <is>
          <t>Barbell Rows</t>
        </is>
      </c>
      <c r="E54" s="31" t="n"/>
      <c r="F54" s="31" t="n"/>
      <c r="G54" s="31" t="n"/>
      <c r="H54" s="31" t="n"/>
      <c r="I54" s="31" t="n"/>
    </row>
    <row r="55" ht="22" customHeight="1">
      <c r="A55" s="30" t="n">
        <v>7</v>
      </c>
      <c r="B55" s="32" t="inlineStr">
        <is>
          <t>Pull</t>
        </is>
      </c>
      <c r="C55" s="41" t="n">
        <v>46176</v>
      </c>
      <c r="D55" s="42" t="inlineStr">
        <is>
          <t>Rack Pulls</t>
        </is>
      </c>
      <c r="E55" s="31" t="n"/>
      <c r="F55" s="31" t="n"/>
      <c r="G55" s="31" t="n"/>
      <c r="H55" s="31" t="n"/>
      <c r="I55" s="31" t="n"/>
    </row>
    <row r="56" ht="22" customHeight="1">
      <c r="A56" s="30" t="n">
        <v>7</v>
      </c>
      <c r="B56" s="32" t="inlineStr">
        <is>
          <t>Legs</t>
        </is>
      </c>
      <c r="C56" s="41" t="n">
        <v>46178</v>
      </c>
      <c r="D56" s="42" t="inlineStr">
        <is>
          <t>Back Squat</t>
        </is>
      </c>
      <c r="E56" s="31" t="n"/>
      <c r="F56" s="31" t="n"/>
      <c r="G56" s="31" t="n"/>
      <c r="H56" s="31" t="n"/>
      <c r="I56" s="31" t="n"/>
    </row>
    <row r="57" ht="22" customHeight="1">
      <c r="A57" s="30" t="n">
        <v>7</v>
      </c>
      <c r="B57" s="32" t="inlineStr">
        <is>
          <t>Legs</t>
        </is>
      </c>
      <c r="C57" s="41" t="n">
        <v>46178</v>
      </c>
      <c r="D57" s="42" t="inlineStr">
        <is>
          <t>Conv Deadlift</t>
        </is>
      </c>
      <c r="E57" s="31" t="n"/>
      <c r="F57" s="31" t="n"/>
      <c r="G57" s="31" t="n"/>
      <c r="H57" s="31" t="n"/>
      <c r="I57" s="3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22" customHeight="1">
      <c r="A59" s="40" t="inlineStr">
        <is>
          <t>WEEK 08  ·  5/3/1+ @ 82/88/93</t>
        </is>
      </c>
      <c r="B59" s="16" t="n"/>
      <c r="C59" s="16" t="n"/>
      <c r="D59" s="16" t="n"/>
      <c r="E59" s="16" t="n"/>
      <c r="F59" s="16" t="n"/>
      <c r="G59" s="16" t="n"/>
      <c r="H59" s="16" t="n"/>
      <c r="I59" s="16" t="n"/>
    </row>
    <row r="60" ht="22" customHeight="1">
      <c r="A60" s="43" t="n">
        <v>8</v>
      </c>
      <c r="B60" s="44" t="inlineStr">
        <is>
          <t>Push</t>
        </is>
      </c>
      <c r="C60" s="45" t="n">
        <v>46181</v>
      </c>
      <c r="D60" s="46" t="inlineStr">
        <is>
          <t>Incline BB Bench</t>
        </is>
      </c>
      <c r="E60" s="47" t="n"/>
      <c r="F60" s="47" t="n"/>
      <c r="G60" s="47" t="n"/>
      <c r="H60" s="47" t="n"/>
      <c r="I60" s="47" t="n"/>
    </row>
    <row r="61" ht="22" customHeight="1">
      <c r="A61" s="43" t="n">
        <v>8</v>
      </c>
      <c r="B61" s="44" t="inlineStr">
        <is>
          <t>Push</t>
        </is>
      </c>
      <c r="C61" s="45" t="n">
        <v>46181</v>
      </c>
      <c r="D61" s="46" t="inlineStr">
        <is>
          <t>Military Press</t>
        </is>
      </c>
      <c r="E61" s="47" t="n"/>
      <c r="F61" s="47" t="n"/>
      <c r="G61" s="47" t="n"/>
      <c r="H61" s="47" t="n"/>
      <c r="I61" s="47" t="n"/>
    </row>
    <row r="62" ht="22" customHeight="1">
      <c r="A62" s="43" t="n">
        <v>8</v>
      </c>
      <c r="B62" s="44" t="inlineStr">
        <is>
          <t>Pull</t>
        </is>
      </c>
      <c r="C62" s="45" t="n">
        <v>46183</v>
      </c>
      <c r="D62" s="46" t="inlineStr">
        <is>
          <t>Barbell Rows</t>
        </is>
      </c>
      <c r="E62" s="47" t="n"/>
      <c r="F62" s="47" t="n"/>
      <c r="G62" s="47" t="n"/>
      <c r="H62" s="47" t="n"/>
      <c r="I62" s="47" t="n"/>
    </row>
    <row r="63" ht="22" customHeight="1">
      <c r="A63" s="43" t="n">
        <v>8</v>
      </c>
      <c r="B63" s="44" t="inlineStr">
        <is>
          <t>Pull</t>
        </is>
      </c>
      <c r="C63" s="45" t="n">
        <v>46183</v>
      </c>
      <c r="D63" s="46" t="inlineStr">
        <is>
          <t>Rack Pulls</t>
        </is>
      </c>
      <c r="E63" s="47" t="n"/>
      <c r="F63" s="47" t="n"/>
      <c r="G63" s="47" t="n"/>
      <c r="H63" s="47" t="n"/>
      <c r="I63" s="47" t="n"/>
    </row>
    <row r="64" ht="22" customHeight="1">
      <c r="A64" s="43" t="n">
        <v>8</v>
      </c>
      <c r="B64" s="44" t="inlineStr">
        <is>
          <t>Legs</t>
        </is>
      </c>
      <c r="C64" s="45" t="n">
        <v>46185</v>
      </c>
      <c r="D64" s="46" t="inlineStr">
        <is>
          <t>Back Squat</t>
        </is>
      </c>
      <c r="E64" s="47" t="n"/>
      <c r="F64" s="47" t="n"/>
      <c r="G64" s="47" t="n"/>
      <c r="H64" s="47" t="n"/>
      <c r="I64" s="47" t="n"/>
    </row>
    <row r="65" ht="22" customHeight="1">
      <c r="A65" s="43" t="n">
        <v>8</v>
      </c>
      <c r="B65" s="44" t="inlineStr">
        <is>
          <t>Legs</t>
        </is>
      </c>
      <c r="C65" s="45" t="n">
        <v>46185</v>
      </c>
      <c r="D65" s="46" t="inlineStr">
        <is>
          <t>Conv Deadlift</t>
        </is>
      </c>
      <c r="E65" s="47" t="n"/>
      <c r="F65" s="47" t="n"/>
      <c r="G65" s="47" t="n"/>
      <c r="H65" s="47" t="n"/>
      <c r="I65" s="47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22" customHeight="1">
      <c r="A67" s="40" t="inlineStr">
        <is>
          <t>WEEK 09  ·  5/3/1+ @ 85/90/95</t>
        </is>
      </c>
      <c r="B67" s="16" t="n"/>
      <c r="C67" s="16" t="n"/>
      <c r="D67" s="16" t="n"/>
      <c r="E67" s="16" t="n"/>
      <c r="F67" s="16" t="n"/>
      <c r="G67" s="16" t="n"/>
      <c r="H67" s="16" t="n"/>
      <c r="I67" s="16" t="n"/>
    </row>
    <row r="68" ht="22" customHeight="1">
      <c r="A68" s="30" t="n">
        <v>9</v>
      </c>
      <c r="B68" s="32" t="inlineStr">
        <is>
          <t>Push</t>
        </is>
      </c>
      <c r="C68" s="41" t="n">
        <v>46188</v>
      </c>
      <c r="D68" s="42" t="inlineStr">
        <is>
          <t>Incline BB Bench</t>
        </is>
      </c>
      <c r="E68" s="31" t="n"/>
      <c r="F68" s="31" t="n"/>
      <c r="G68" s="31" t="n"/>
      <c r="H68" s="31" t="n"/>
      <c r="I68" s="31" t="n"/>
    </row>
    <row r="69" ht="22" customHeight="1">
      <c r="A69" s="30" t="n">
        <v>9</v>
      </c>
      <c r="B69" s="32" t="inlineStr">
        <is>
          <t>Push</t>
        </is>
      </c>
      <c r="C69" s="41" t="n">
        <v>46188</v>
      </c>
      <c r="D69" s="42" t="inlineStr">
        <is>
          <t>Military Press</t>
        </is>
      </c>
      <c r="E69" s="31" t="n"/>
      <c r="F69" s="31" t="n"/>
      <c r="G69" s="31" t="n"/>
      <c r="H69" s="31" t="n"/>
      <c r="I69" s="31" t="n"/>
    </row>
    <row r="70" ht="22" customHeight="1">
      <c r="A70" s="30" t="n">
        <v>9</v>
      </c>
      <c r="B70" s="32" t="inlineStr">
        <is>
          <t>Pull</t>
        </is>
      </c>
      <c r="C70" s="41" t="n">
        <v>46190</v>
      </c>
      <c r="D70" s="42" t="inlineStr">
        <is>
          <t>Barbell Rows</t>
        </is>
      </c>
      <c r="E70" s="31" t="n"/>
      <c r="F70" s="31" t="n"/>
      <c r="G70" s="31" t="n"/>
      <c r="H70" s="31" t="n"/>
      <c r="I70" s="31" t="n"/>
    </row>
    <row r="71" ht="22" customHeight="1">
      <c r="A71" s="30" t="n">
        <v>9</v>
      </c>
      <c r="B71" s="32" t="inlineStr">
        <is>
          <t>Pull</t>
        </is>
      </c>
      <c r="C71" s="41" t="n">
        <v>46190</v>
      </c>
      <c r="D71" s="42" t="inlineStr">
        <is>
          <t>Rack Pulls</t>
        </is>
      </c>
      <c r="E71" s="31" t="n"/>
      <c r="F71" s="31" t="n"/>
      <c r="G71" s="31" t="n"/>
      <c r="H71" s="31" t="n"/>
      <c r="I71" s="31" t="n"/>
    </row>
    <row r="72" ht="22" customHeight="1">
      <c r="A72" s="30" t="n">
        <v>9</v>
      </c>
      <c r="B72" s="32" t="inlineStr">
        <is>
          <t>Legs</t>
        </is>
      </c>
      <c r="C72" s="41" t="n">
        <v>46192</v>
      </c>
      <c r="D72" s="42" t="inlineStr">
        <is>
          <t>Back Squat</t>
        </is>
      </c>
      <c r="E72" s="31" t="n"/>
      <c r="F72" s="31" t="n"/>
      <c r="G72" s="31" t="n"/>
      <c r="H72" s="31" t="n"/>
      <c r="I72" s="31" t="n"/>
    </row>
    <row r="73" ht="22" customHeight="1">
      <c r="A73" s="30" t="n">
        <v>9</v>
      </c>
      <c r="B73" s="32" t="inlineStr">
        <is>
          <t>Legs</t>
        </is>
      </c>
      <c r="C73" s="41" t="n">
        <v>46192</v>
      </c>
      <c r="D73" s="42" t="inlineStr">
        <is>
          <t>Conv Deadlift</t>
        </is>
      </c>
      <c r="E73" s="31" t="n"/>
      <c r="F73" s="31" t="n"/>
      <c r="G73" s="31" t="n"/>
      <c r="H73" s="31" t="n"/>
      <c r="I73" s="3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22" customHeight="1">
      <c r="A75" s="48" t="inlineStr">
        <is>
          <t>WEEK 10  ·  REST · RETEST 1RM</t>
        </is>
      </c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22" customHeight="1">
      <c r="A76" s="43" t="n">
        <v>10</v>
      </c>
      <c r="B76" s="44" t="inlineStr">
        <is>
          <t>Push</t>
        </is>
      </c>
      <c r="C76" s="45" t="n">
        <v>46195</v>
      </c>
      <c r="D76" s="46" t="inlineStr">
        <is>
          <t>Incline BB Bench</t>
        </is>
      </c>
      <c r="E76" s="47" t="n"/>
      <c r="F76" s="47" t="n"/>
      <c r="G76" s="47" t="n"/>
      <c r="H76" s="47" t="n"/>
      <c r="I76" s="47" t="n"/>
    </row>
    <row r="77" ht="22" customHeight="1">
      <c r="A77" s="43" t="n">
        <v>10</v>
      </c>
      <c r="B77" s="44" t="inlineStr">
        <is>
          <t>Push</t>
        </is>
      </c>
      <c r="C77" s="45" t="n">
        <v>46195</v>
      </c>
      <c r="D77" s="46" t="inlineStr">
        <is>
          <t>Military Press</t>
        </is>
      </c>
      <c r="E77" s="47" t="n"/>
      <c r="F77" s="47" t="n"/>
      <c r="G77" s="47" t="n"/>
      <c r="H77" s="47" t="n"/>
      <c r="I77" s="47" t="n"/>
    </row>
    <row r="78" ht="22" customHeight="1">
      <c r="A78" s="43" t="n">
        <v>10</v>
      </c>
      <c r="B78" s="44" t="inlineStr">
        <is>
          <t>Pull</t>
        </is>
      </c>
      <c r="C78" s="45" t="n">
        <v>46197</v>
      </c>
      <c r="D78" s="46" t="inlineStr">
        <is>
          <t>Barbell Rows</t>
        </is>
      </c>
      <c r="E78" s="47" t="n"/>
      <c r="F78" s="47" t="n"/>
      <c r="G78" s="47" t="n"/>
      <c r="H78" s="47" t="n"/>
      <c r="I78" s="47" t="n"/>
    </row>
    <row r="79" ht="22" customHeight="1">
      <c r="A79" s="43" t="n">
        <v>10</v>
      </c>
      <c r="B79" s="44" t="inlineStr">
        <is>
          <t>Pull</t>
        </is>
      </c>
      <c r="C79" s="45" t="n">
        <v>46197</v>
      </c>
      <c r="D79" s="46" t="inlineStr">
        <is>
          <t>Rack Pulls</t>
        </is>
      </c>
      <c r="E79" s="47" t="n"/>
      <c r="F79" s="47" t="n"/>
      <c r="G79" s="47" t="n"/>
      <c r="H79" s="47" t="n"/>
      <c r="I79" s="47" t="n"/>
    </row>
    <row r="80" ht="22" customHeight="1">
      <c r="A80" s="43" t="n">
        <v>10</v>
      </c>
      <c r="B80" s="44" t="inlineStr">
        <is>
          <t>Legs</t>
        </is>
      </c>
      <c r="C80" s="45" t="n">
        <v>46199</v>
      </c>
      <c r="D80" s="46" t="inlineStr">
        <is>
          <t>Back Squat</t>
        </is>
      </c>
      <c r="E80" s="47" t="n"/>
      <c r="F80" s="47" t="n"/>
      <c r="G80" s="47" t="n"/>
      <c r="H80" s="47" t="n"/>
      <c r="I80" s="47" t="n"/>
    </row>
    <row r="81" ht="22" customHeight="1">
      <c r="A81" s="43" t="n">
        <v>10</v>
      </c>
      <c r="B81" s="44" t="inlineStr">
        <is>
          <t>Legs</t>
        </is>
      </c>
      <c r="C81" s="45" t="n">
        <v>46199</v>
      </c>
      <c r="D81" s="46" t="inlineStr">
        <is>
          <t>Conv Deadlift</t>
        </is>
      </c>
      <c r="E81" s="47" t="n"/>
      <c r="F81" s="47" t="n"/>
      <c r="G81" s="47" t="n"/>
      <c r="H81" s="47" t="n"/>
      <c r="I81" s="47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</sheetData>
  <mergeCells count="11">
    <mergeCell ref="A59:I59"/>
    <mergeCell ref="A43:I43"/>
    <mergeCell ref="A19:I19"/>
    <mergeCell ref="A11:I11"/>
    <mergeCell ref="A51:I51"/>
    <mergeCell ref="A75:I75"/>
    <mergeCell ref="A1:I1"/>
    <mergeCell ref="A27:I27"/>
    <mergeCell ref="A67:I67"/>
    <mergeCell ref="A3:I3"/>
    <mergeCell ref="A35:I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2026-04-17T02:41:38Z</dcterms:created>
  <dcterms:modified xsi:type="dcterms:W3CDTF">2026-04-17T02:41:39Z</dcterms:modified>
</cp:coreProperties>
</file>